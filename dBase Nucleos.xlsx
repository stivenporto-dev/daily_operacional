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ITG_Inteligencia_Operacional\JCA_Inteligencia\01 - TELEMETRIA\"/>
    </mc:Choice>
  </mc:AlternateContent>
  <xr:revisionPtr revIDLastSave="0" documentId="13_ncr:1_{759B8A96-5CF8-457E-A334-C8CA4A5994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ucleos" sheetId="1" r:id="rId1"/>
    <sheet name="Rodoviária" sheetId="2" r:id="rId2"/>
    <sheet name="d_AUX" sheetId="6" r:id="rId3"/>
    <sheet name="Planilha1" sheetId="5" r:id="rId4"/>
    <sheet name="d_Aux_SalesForce" sheetId="4" r:id="rId5"/>
  </sheets>
  <externalReferences>
    <externalReference r:id="rId6"/>
  </externalReferences>
  <definedNames>
    <definedName name="_xlnm._FilterDatabase" localSheetId="0" hidden="1">Nucleos!$I$204</definedName>
    <definedName name="_xlnm._FilterDatabase" localSheetId="1" hidden="1">Rodoviária!$A$1:$B$98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6" i="6" l="1"/>
  <c r="E433" i="6"/>
  <c r="E429" i="6"/>
  <c r="E427" i="6"/>
  <c r="E422" i="6"/>
  <c r="E420" i="6"/>
  <c r="E419" i="6"/>
  <c r="E418" i="6"/>
  <c r="E417" i="6"/>
  <c r="E415" i="6"/>
  <c r="E414" i="6"/>
  <c r="E413" i="6"/>
  <c r="E412" i="6"/>
  <c r="E411" i="6"/>
  <c r="E410" i="6"/>
  <c r="E409" i="6"/>
  <c r="E408" i="6"/>
  <c r="E407" i="6"/>
  <c r="E406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21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3" i="6"/>
  <c r="E242" i="6"/>
  <c r="E241" i="6"/>
  <c r="E240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<sst xmlns="http://schemas.openxmlformats.org/spreadsheetml/2006/main" count="4649" uniqueCount="1568">
  <si>
    <t>Empresa</t>
  </si>
  <si>
    <t>Setor</t>
  </si>
  <si>
    <t>Serviço</t>
  </si>
  <si>
    <t>Nome Setor</t>
  </si>
  <si>
    <t>Nome Contrato</t>
  </si>
  <si>
    <t>Nucleo</t>
  </si>
  <si>
    <t>Regional</t>
  </si>
  <si>
    <t>CodEmpresa</t>
  </si>
  <si>
    <t>Chave</t>
  </si>
  <si>
    <t>EmpresaOPTZ</t>
  </si>
  <si>
    <t>OPÇAO</t>
  </si>
  <si>
    <t>CBA</t>
  </si>
  <si>
    <t>FRETAMENTO</t>
  </si>
  <si>
    <t>CBA ALUMINIO (SCB)</t>
  </si>
  <si>
    <t>SCB_CBA [ALUMINIO]</t>
  </si>
  <si>
    <t>SOROCABA</t>
  </si>
  <si>
    <t>SPO</t>
  </si>
  <si>
    <t>9</t>
  </si>
  <si>
    <t>OPÇ</t>
  </si>
  <si>
    <t>CVV</t>
  </si>
  <si>
    <t>CONSORCIO VALE VERDE (BHZ)</t>
  </si>
  <si>
    <t>BHZ_CONSTRUTORA VALE VERDE [BARÃO DE COCAIS]</t>
  </si>
  <si>
    <t>BELO HORIZONTE</t>
  </si>
  <si>
    <t>COMETA</t>
  </si>
  <si>
    <t>AQA</t>
  </si>
  <si>
    <t>RODOVIARIO</t>
  </si>
  <si>
    <t>ARARAQUARA</t>
  </si>
  <si>
    <t>INTERIOR SP</t>
  </si>
  <si>
    <t>3</t>
  </si>
  <si>
    <t>COM</t>
  </si>
  <si>
    <t>AV1001 URB</t>
  </si>
  <si>
    <t>ARA</t>
  </si>
  <si>
    <t>URBANO</t>
  </si>
  <si>
    <t>ARARUAMA - URBANO</t>
  </si>
  <si>
    <t>MARUI</t>
  </si>
  <si>
    <t>RIO</t>
  </si>
  <si>
    <t>1001_URB</t>
  </si>
  <si>
    <t>JDG</t>
  </si>
  <si>
    <t>GLOBAL TECH (JDI)</t>
  </si>
  <si>
    <t>CPN_AMBEV GLOBAL [CAMPINAS]</t>
  </si>
  <si>
    <t>JUNDIAÍ</t>
  </si>
  <si>
    <t>BHI</t>
  </si>
  <si>
    <t>INTERMITENTE</t>
  </si>
  <si>
    <t>5</t>
  </si>
  <si>
    <t>BHW</t>
  </si>
  <si>
    <t>BHZ</t>
  </si>
  <si>
    <t>PEG</t>
  </si>
  <si>
    <t>PEPSICO GUARULHOS (SAO)</t>
  </si>
  <si>
    <t>SAO_PEPSICO [GUARULHOS]</t>
  </si>
  <si>
    <t>SAO PAULO G1</t>
  </si>
  <si>
    <t>CATARINENSE</t>
  </si>
  <si>
    <t>BNI</t>
  </si>
  <si>
    <t>BLUMENAU</t>
  </si>
  <si>
    <t>SUL</t>
  </si>
  <si>
    <t>7</t>
  </si>
  <si>
    <t>AVC</t>
  </si>
  <si>
    <t>BNU</t>
  </si>
  <si>
    <t>1</t>
  </si>
  <si>
    <t>BRQ</t>
  </si>
  <si>
    <t>BRUSQUE</t>
  </si>
  <si>
    <t>PEI</t>
  </si>
  <si>
    <t>PEPSICO ITAQUERA (SAO)</t>
  </si>
  <si>
    <t>SAO_PEPSICO [ITAQUERA]</t>
  </si>
  <si>
    <t>AV1001</t>
  </si>
  <si>
    <t>CBF</t>
  </si>
  <si>
    <t>CABO FRIO</t>
  </si>
  <si>
    <t>4</t>
  </si>
  <si>
    <t>CBI</t>
  </si>
  <si>
    <t>6</t>
  </si>
  <si>
    <t>CCD</t>
  </si>
  <si>
    <t>CONCORDIA</t>
  </si>
  <si>
    <t>FLORIANOPOLIS</t>
  </si>
  <si>
    <t>SCF</t>
  </si>
  <si>
    <t>ATECAR - SOROCABA</t>
  </si>
  <si>
    <t>SCB_ATECAR</t>
  </si>
  <si>
    <t>SCG</t>
  </si>
  <si>
    <t>SOROCABA - GLOBAL (CPN)</t>
  </si>
  <si>
    <t>SCB</t>
  </si>
  <si>
    <t>VOTORANTIM (SCB)</t>
  </si>
  <si>
    <t>SCB_VOTORANTIM [VOTORANTIM]</t>
  </si>
  <si>
    <t>SCV</t>
  </si>
  <si>
    <t>VOTORANTIM - SALTO (SCB)</t>
  </si>
  <si>
    <t>SCB_VOTORANTIM [SALTO]</t>
  </si>
  <si>
    <t>SPF</t>
  </si>
  <si>
    <t>ATECAR - SAO PAULO</t>
  </si>
  <si>
    <t>SAO_ATECAR</t>
  </si>
  <si>
    <t>AGR</t>
  </si>
  <si>
    <t>AGUAS DO RIO (RJO)</t>
  </si>
  <si>
    <t>RJO_AGUAS DO RIO [RIO]</t>
  </si>
  <si>
    <t>RIO DE JANEIRO</t>
  </si>
  <si>
    <t>AKR</t>
  </si>
  <si>
    <t>AKER SLS (MAC)</t>
  </si>
  <si>
    <t>MAC_AKER SLS [MACAE]</t>
  </si>
  <si>
    <t>MACAE</t>
  </si>
  <si>
    <t>ALM</t>
  </si>
  <si>
    <t>CBA ALUMINIO</t>
  </si>
  <si>
    <t>ANG</t>
  </si>
  <si>
    <t>ANGELONI (ITJ)</t>
  </si>
  <si>
    <t>JOI_ANGELONI [PORTO BELO]</t>
  </si>
  <si>
    <t>CPI</t>
  </si>
  <si>
    <t>CAMPINAS - INTERMITENTE</t>
  </si>
  <si>
    <t>CAMPINAS INTERMITENTE</t>
  </si>
  <si>
    <t>CAMPINAS</t>
  </si>
  <si>
    <t>BHF</t>
  </si>
  <si>
    <t>FRANZEN (BHZ)</t>
  </si>
  <si>
    <t>BHZ_FRANZEN [CONTAGEM]</t>
  </si>
  <si>
    <t>CPN</t>
  </si>
  <si>
    <t>SAO PAULO G3</t>
  </si>
  <si>
    <t>CPS</t>
  </si>
  <si>
    <t>CAMPOS</t>
  </si>
  <si>
    <t>CPU</t>
  </si>
  <si>
    <t>CAMPOS - URBANO</t>
  </si>
  <si>
    <t>CTB</t>
  </si>
  <si>
    <t>CURITIBA</t>
  </si>
  <si>
    <t>EXPRESSO DO SUL</t>
  </si>
  <si>
    <t>2</t>
  </si>
  <si>
    <t>EXP</t>
  </si>
  <si>
    <t>BMW</t>
  </si>
  <si>
    <t>BMW (JOI)</t>
  </si>
  <si>
    <t>JOI_BMW [ARAQUARI]</t>
  </si>
  <si>
    <t>JOINVILLE</t>
  </si>
  <si>
    <t>CAM</t>
  </si>
  <si>
    <t>AMBEV (CPN)</t>
  </si>
  <si>
    <t>CPN_AMBEV CERVEJARIA [JAGUARIUNA]</t>
  </si>
  <si>
    <t>CTI</t>
  </si>
  <si>
    <t>CCN</t>
  </si>
  <si>
    <t>CNPEM (CPN)</t>
  </si>
  <si>
    <t>CPN_CNPEM</t>
  </si>
  <si>
    <t>CTW</t>
  </si>
  <si>
    <t>CVI</t>
  </si>
  <si>
    <t>CASCAVEL</t>
  </si>
  <si>
    <t>FOZ DO IGUAÇU</t>
  </si>
  <si>
    <t>CVL</t>
  </si>
  <si>
    <t>CDR</t>
  </si>
  <si>
    <t>CONDOR (RJO)</t>
  </si>
  <si>
    <t>RJO_CONDOR [RIO]</t>
  </si>
  <si>
    <t>CEB</t>
  </si>
  <si>
    <t>CENTRAL BRASILEIRA DE INFRAESTRUTURA</t>
  </si>
  <si>
    <t>RJO_CBI [COMPERJ]</t>
  </si>
  <si>
    <t>CXB</t>
  </si>
  <si>
    <t>CAXAMBU</t>
  </si>
  <si>
    <t>CEN</t>
  </si>
  <si>
    <t>PETROBRAS CENPES (RJO)</t>
  </si>
  <si>
    <t>RJO_PETROBRAS [CENPES]</t>
  </si>
  <si>
    <t>CIL</t>
  </si>
  <si>
    <t>CPN_ILUM</t>
  </si>
  <si>
    <t>ENS</t>
  </si>
  <si>
    <t>ENSEADA</t>
  </si>
  <si>
    <t>CMM</t>
  </si>
  <si>
    <t>CONSORCIO MINAS MAIS (BHZ)</t>
  </si>
  <si>
    <t>BHZ_CMM [BARAO DE COCAIS]</t>
  </si>
  <si>
    <t>FBU</t>
  </si>
  <si>
    <t>FRIBURGO</t>
  </si>
  <si>
    <t>FRIBURGO - URBANO</t>
  </si>
  <si>
    <t>FLI</t>
  </si>
  <si>
    <t>FLN</t>
  </si>
  <si>
    <t>FLO</t>
  </si>
  <si>
    <t>CPA</t>
  </si>
  <si>
    <t>ATECAR (CPN)</t>
  </si>
  <si>
    <t>CPN_ATECAR</t>
  </si>
  <si>
    <t>FOZ</t>
  </si>
  <si>
    <t>FRB</t>
  </si>
  <si>
    <t>FRC</t>
  </si>
  <si>
    <t>FRANCA</t>
  </si>
  <si>
    <t>FRS</t>
  </si>
  <si>
    <t>FRIBURGO - URBANO SELETIVO</t>
  </si>
  <si>
    <t>FRU</t>
  </si>
  <si>
    <t>FZI</t>
  </si>
  <si>
    <t>G03</t>
  </si>
  <si>
    <t>SAO PAULO</t>
  </si>
  <si>
    <t>CPE</t>
  </si>
  <si>
    <t>GER</t>
  </si>
  <si>
    <t>SERVIÇO EXTRAS GERAL COMETA</t>
  </si>
  <si>
    <t>GRP</t>
  </si>
  <si>
    <t>GUARAPUAVA</t>
  </si>
  <si>
    <t>IBT</t>
  </si>
  <si>
    <t>IMBITUBA</t>
  </si>
  <si>
    <t>CPF</t>
  </si>
  <si>
    <t>INSTRUTOR</t>
  </si>
  <si>
    <t>MACAENSE</t>
  </si>
  <si>
    <t>MCS</t>
  </si>
  <si>
    <t>OPÇAO - SOROCABA</t>
  </si>
  <si>
    <t>RAPIDO RIBEIRAO</t>
  </si>
  <si>
    <t>27</t>
  </si>
  <si>
    <t>RRP</t>
  </si>
  <si>
    <t>SIT</t>
  </si>
  <si>
    <t>ITA</t>
  </si>
  <si>
    <t>ITAPERUNA</t>
  </si>
  <si>
    <t>CPN_ATECAR [CAMPINAS]</t>
  </si>
  <si>
    <t>CPG</t>
  </si>
  <si>
    <t>GLOBAL TECH (CPN)</t>
  </si>
  <si>
    <t>CPN_AMBEV GLOBAL</t>
  </si>
  <si>
    <t>ITI</t>
  </si>
  <si>
    <t>ITAJAI</t>
  </si>
  <si>
    <t>ITJ</t>
  </si>
  <si>
    <t>CPJ</t>
  </si>
  <si>
    <t>CAMPINAS AMBEV JUNDIAÍ</t>
  </si>
  <si>
    <t>CPN_AMBEV [JDI]</t>
  </si>
  <si>
    <t>ITP</t>
  </si>
  <si>
    <t>ITAPETININGA</t>
  </si>
  <si>
    <t>CTF</t>
  </si>
  <si>
    <t>VOLKSWAGEN (SJP)</t>
  </si>
  <si>
    <t>CTB_VOLKSWAGEN [SJP]</t>
  </si>
  <si>
    <t>JDF</t>
  </si>
  <si>
    <t>JUIZ DE FORA</t>
  </si>
  <si>
    <t>CTP</t>
  </si>
  <si>
    <t>PEPSICO (CTB)</t>
  </si>
  <si>
    <t>JOI_VOLVO DICAVE [ARAQUARI]</t>
  </si>
  <si>
    <t>JDI</t>
  </si>
  <si>
    <t>JUNDIAI</t>
  </si>
  <si>
    <t>CYP</t>
  </si>
  <si>
    <t>YPE AMPARO (CPN)</t>
  </si>
  <si>
    <t>CPN_YPE QUIMICA [AMPARO]</t>
  </si>
  <si>
    <t>JGS</t>
  </si>
  <si>
    <t>JARAGUA DO SUL</t>
  </si>
  <si>
    <t>JIN</t>
  </si>
  <si>
    <t>DCV</t>
  </si>
  <si>
    <t>DICAVE (JOI)</t>
  </si>
  <si>
    <t>CTB_PEPSICO [CURITIBA]</t>
  </si>
  <si>
    <t>EPA</t>
  </si>
  <si>
    <t>ENGENHARIA PAREX (BHZ)</t>
  </si>
  <si>
    <t>BHZ_PAREX [ITABIRITO]</t>
  </si>
  <si>
    <t>JOI</t>
  </si>
  <si>
    <t>FOR</t>
  </si>
  <si>
    <t>FORSHIP (RJO)</t>
  </si>
  <si>
    <t>RJO_FORSHIP [COMPERJ]</t>
  </si>
  <si>
    <t>LDN</t>
  </si>
  <si>
    <t>LONDRINA</t>
  </si>
  <si>
    <t>GAS</t>
  </si>
  <si>
    <t>PETROBRAS GASLUB (RJO)</t>
  </si>
  <si>
    <t>RJO_PETROBRAS [COMPERJ]</t>
  </si>
  <si>
    <t>LGS</t>
  </si>
  <si>
    <t>LAGES</t>
  </si>
  <si>
    <t>LRN</t>
  </si>
  <si>
    <t>LORENA</t>
  </si>
  <si>
    <t>IMB</t>
  </si>
  <si>
    <t>PETROBRAS IMBETIBA (MAC)</t>
  </si>
  <si>
    <t>MAC_PETROBRAS [IMBETIBA]</t>
  </si>
  <si>
    <t>ITB</t>
  </si>
  <si>
    <t>MILPLAN ITABIRITO (BHZ)</t>
  </si>
  <si>
    <t>BHZ_MILPLAN [ITABIRITO]</t>
  </si>
  <si>
    <t>MAC</t>
  </si>
  <si>
    <t>MACAE - SIT</t>
  </si>
  <si>
    <t>ITF</t>
  </si>
  <si>
    <t>MAI</t>
  </si>
  <si>
    <t>MAR</t>
  </si>
  <si>
    <t>MARUÍ - URBANO</t>
  </si>
  <si>
    <t>ITK</t>
  </si>
  <si>
    <t>INTERTANK</t>
  </si>
  <si>
    <t>MAC_INTERTANK [MACAE]</t>
  </si>
  <si>
    <t>JDA</t>
  </si>
  <si>
    <t>AMBEV JUNDIAI</t>
  </si>
  <si>
    <t>JDI_AMBEV</t>
  </si>
  <si>
    <t>JDE</t>
  </si>
  <si>
    <t>ATECAR (JDI)</t>
  </si>
  <si>
    <t>JDI_ATECAR</t>
  </si>
  <si>
    <t>MRS</t>
  </si>
  <si>
    <t>MARUÍ - URBANO SELETIVO</t>
  </si>
  <si>
    <t>JFF</t>
  </si>
  <si>
    <t>MERCEDES-BENZ (JDF)</t>
  </si>
  <si>
    <t>JDF_MERCEDES BENZ [JUIZ DE FORA]</t>
  </si>
  <si>
    <t>NIT</t>
  </si>
  <si>
    <t>NITERÓI - URBANO</t>
  </si>
  <si>
    <t>JOF</t>
  </si>
  <si>
    <t>PCS</t>
  </si>
  <si>
    <t>POÇOS DE CALDAS</t>
  </si>
  <si>
    <t>JTB</t>
  </si>
  <si>
    <t>AMBEV - JUATUBA (BHZ)</t>
  </si>
  <si>
    <t>BHZ_AMBEV [JUATUBA]</t>
  </si>
  <si>
    <t>PGD</t>
  </si>
  <si>
    <t>PRAIA GRANDE</t>
  </si>
  <si>
    <t>SANTOS</t>
  </si>
  <si>
    <t>PGR</t>
  </si>
  <si>
    <t>PONTA GROSSA</t>
  </si>
  <si>
    <t>POA</t>
  </si>
  <si>
    <t>PORTO ALEGRE</t>
  </si>
  <si>
    <t>LGF</t>
  </si>
  <si>
    <t>PTG</t>
  </si>
  <si>
    <t>PUC</t>
  </si>
  <si>
    <t>RAO</t>
  </si>
  <si>
    <t>RIBEIRAO PRETO</t>
  </si>
  <si>
    <t>RCB</t>
  </si>
  <si>
    <t>RIO CABO FRIO</t>
  </si>
  <si>
    <t>RDO</t>
  </si>
  <si>
    <t>RIO DAS OSTRAS - URBANO</t>
  </si>
  <si>
    <t>LUB</t>
  </si>
  <si>
    <t>LUFT BETIM (BHZ)</t>
  </si>
  <si>
    <t>BHZ_LUFT [BETIM]</t>
  </si>
  <si>
    <t>LUF</t>
  </si>
  <si>
    <t>LUFT CAJAMAR (SAO)</t>
  </si>
  <si>
    <t>SAO_LUFT [CAJAMAR]</t>
  </si>
  <si>
    <t>MAF</t>
  </si>
  <si>
    <t>MHW</t>
  </si>
  <si>
    <t>MHWIRTH (MAC)</t>
  </si>
  <si>
    <t>MAC_MH WIRTH [MACAE]</t>
  </si>
  <si>
    <t>RFB</t>
  </si>
  <si>
    <t>RIO FRIBURGO</t>
  </si>
  <si>
    <t>RGT</t>
  </si>
  <si>
    <t>REGISTRO</t>
  </si>
  <si>
    <t>RIS</t>
  </si>
  <si>
    <t>RIO DO SUL</t>
  </si>
  <si>
    <t>MIP</t>
  </si>
  <si>
    <t>MIPE CONSTRUÇÕES (RJO)</t>
  </si>
  <si>
    <t>RJO_MIPE CONSTRUÇÕES</t>
  </si>
  <si>
    <t>RJI</t>
  </si>
  <si>
    <t>RJW</t>
  </si>
  <si>
    <t>MIPE</t>
  </si>
  <si>
    <t>MIPE_CONSTRUÇÕES [RIO]</t>
  </si>
  <si>
    <t>RPW</t>
  </si>
  <si>
    <t>RSI</t>
  </si>
  <si>
    <t>SAO</t>
  </si>
  <si>
    <t>OPERAÇÃO PUC MARUI (NIT)</t>
  </si>
  <si>
    <t>NIT_PUC [MARUI_URB]</t>
  </si>
  <si>
    <t>NLF</t>
  </si>
  <si>
    <t>NOVA LIMA (BHZ)</t>
  </si>
  <si>
    <t>POL</t>
  </si>
  <si>
    <t>POLLO ENGENHARIA (RJO)</t>
  </si>
  <si>
    <t>RJO_POLLO ENGENHARIA [COMPERJ]</t>
  </si>
  <si>
    <t>RED</t>
  </si>
  <si>
    <t>PETROBRAS REDUC (RIO)</t>
  </si>
  <si>
    <t>RJO_PETROBRAS [REDUC]</t>
  </si>
  <si>
    <t>REF</t>
  </si>
  <si>
    <t>REFAP - PETROBRÁS CANOAS</t>
  </si>
  <si>
    <t>FLN_PETROBRAS [REFAP]</t>
  </si>
  <si>
    <t>REL</t>
  </si>
  <si>
    <t>RELYON NUTEC (MAC)</t>
  </si>
  <si>
    <t>MAC_REYLON NUTEC [MACAE]</t>
  </si>
  <si>
    <t>RJF</t>
  </si>
  <si>
    <t>RMS</t>
  </si>
  <si>
    <t>RIO MAIS (CPS)</t>
  </si>
  <si>
    <t>CPS_RIO+SANEAMENTO[CAMPOS]</t>
  </si>
  <si>
    <t>SBC</t>
  </si>
  <si>
    <t>VOLKSWAGEN (SBC)</t>
  </si>
  <si>
    <t>SAO_VOLKSWAGEN [SBC]</t>
  </si>
  <si>
    <t>SAO BERNARDO</t>
  </si>
  <si>
    <t>SCA</t>
  </si>
  <si>
    <t>SFD</t>
  </si>
  <si>
    <t>RIO SÃO FIDELIS</t>
  </si>
  <si>
    <t>SJR</t>
  </si>
  <si>
    <t>SAO JOSE DO RIO PRETO</t>
  </si>
  <si>
    <t>SJW</t>
  </si>
  <si>
    <t>SNT</t>
  </si>
  <si>
    <t>BAIXADA SANTISTA</t>
  </si>
  <si>
    <t>SEN</t>
  </si>
  <si>
    <t>SENAI</t>
  </si>
  <si>
    <t>SAO_SENAI [SBC]</t>
  </si>
  <si>
    <t>SNF</t>
  </si>
  <si>
    <t>ATECAR - SANTOS</t>
  </si>
  <si>
    <t>PGD_ATECAR</t>
  </si>
  <si>
    <t>SPA</t>
  </si>
  <si>
    <t>SAO PAULO - AMBEV JAGUARIUNA</t>
  </si>
  <si>
    <t>SPA_AMBEV JAGUARIUNA</t>
  </si>
  <si>
    <t>SPG</t>
  </si>
  <si>
    <t>GLOBAL TECH (SAO)</t>
  </si>
  <si>
    <t>CPN_AMBEV [JAGUARIUNA]</t>
  </si>
  <si>
    <t>SPI</t>
  </si>
  <si>
    <t>SPW</t>
  </si>
  <si>
    <t>STI</t>
  </si>
  <si>
    <t>STL</t>
  </si>
  <si>
    <t>AMBEV - SETE LAGOAS (BHZ)</t>
  </si>
  <si>
    <t>BHZ_AMBEV [SETE LAGOAS]</t>
  </si>
  <si>
    <t>STM</t>
  </si>
  <si>
    <t>SANTA MARIA</t>
  </si>
  <si>
    <t>SVC</t>
  </si>
  <si>
    <t>SAO VICENTE</t>
  </si>
  <si>
    <t>TAI</t>
  </si>
  <si>
    <t>TAIO</t>
  </si>
  <si>
    <t>TDC</t>
  </si>
  <si>
    <t>TD CONSTRUTORA (RJO)</t>
  </si>
  <si>
    <t>RJO_TD CONSTRUTORA [GASLUB]</t>
  </si>
  <si>
    <t>TEC</t>
  </si>
  <si>
    <t>TECFIL GUARULHOS (SAO)</t>
  </si>
  <si>
    <t>SAO_TECFIL [GUARULHOS]</t>
  </si>
  <si>
    <t>TGR</t>
  </si>
  <si>
    <t>TIGER RENTANK (MAC)</t>
  </si>
  <si>
    <t>MAC_TIGER [MACAE]</t>
  </si>
  <si>
    <t>TOY</t>
  </si>
  <si>
    <t>TOYO SETAL UPGN (RJO)</t>
  </si>
  <si>
    <t>RJO_TOYO SETAL [COMPERJ]</t>
  </si>
  <si>
    <t>VAL</t>
  </si>
  <si>
    <t>VALLOUREC (MAC)</t>
  </si>
  <si>
    <t>MAC_VALLOUREC [MACAE]</t>
  </si>
  <si>
    <t>VBR</t>
  </si>
  <si>
    <t>VIBRA ENERGIA (CPS)</t>
  </si>
  <si>
    <t>CPS_VIBRA [CAMPOS]</t>
  </si>
  <si>
    <t>VRD</t>
  </si>
  <si>
    <t>VOLTA REDONDA</t>
  </si>
  <si>
    <t>VVA</t>
  </si>
  <si>
    <t>VIA VAREJO (RJO)</t>
  </si>
  <si>
    <t>RJO_VIA VAREJO</t>
  </si>
  <si>
    <t>CIM</t>
  </si>
  <si>
    <t>CIMED - POUSO ALEGRE</t>
  </si>
  <si>
    <t>SAO_CIMED</t>
  </si>
  <si>
    <t>BYP</t>
  </si>
  <si>
    <t>YPE BETIM (BHZ)</t>
  </si>
  <si>
    <t>BHZ_YPE [BETIM]</t>
  </si>
  <si>
    <t>DIR</t>
  </si>
  <si>
    <t>MOT DIRETORIA</t>
  </si>
  <si>
    <t>S</t>
  </si>
  <si>
    <t>Destino</t>
  </si>
  <si>
    <t>ROD_RIBEIRÃO PRETO (SP)</t>
  </si>
  <si>
    <t>ROD_CURITIBA (PR)</t>
  </si>
  <si>
    <t>ROD_BALNEÁRIO CAMBORIÚ (SC)</t>
  </si>
  <si>
    <t>ROD_AEROPORTO AFONSO PENA (PR)</t>
  </si>
  <si>
    <t>ROD_ANDRELÂNDIA (MG)</t>
  </si>
  <si>
    <t>ROD_NITERÓI (RJ)</t>
  </si>
  <si>
    <t>ROD_FLORIANÓPOLIS (SC)</t>
  </si>
  <si>
    <t>ROD_BELO HORIZONTE (MG)</t>
  </si>
  <si>
    <t>ROD_VOLTA REDONDA (RJ)</t>
  </si>
  <si>
    <t>ROD_ÁGUAS DA PRATA (SP) [CNX]</t>
  </si>
  <si>
    <t>ROD_DUQUE DE CAXIAS (RJ)</t>
  </si>
  <si>
    <t>ROD_CAXAMBU (MG)</t>
  </si>
  <si>
    <t>ROD_RIO DO SUL (SC)</t>
  </si>
  <si>
    <t>ROD_JUNDIAÍ (SP)</t>
  </si>
  <si>
    <t>ROD_JUÍZ DE FORA (MG)</t>
  </si>
  <si>
    <t>ROD_TERMINAL RODOVIÁRIO NOVO RIO (RJ)</t>
  </si>
  <si>
    <t>ROD_TERMINAL TURÍSTICO JK (MG)</t>
  </si>
  <si>
    <t>ROD_MINI RODOVIÁRIA RIBEIRÃO PRETO (SP)</t>
  </si>
  <si>
    <t>ROD_CABO FRIO (RJ)</t>
  </si>
  <si>
    <t>ROD_ARARAQUARA (SP)</t>
  </si>
  <si>
    <t>ROD_BRUSQUE (SC)</t>
  </si>
  <si>
    <t>ROD_CAMPO GRANDE (RJ)</t>
  </si>
  <si>
    <t>ROD_ÁGUAS DA PRATA (SP)</t>
  </si>
  <si>
    <t>ROD_POÇOS DE CALDAS (MG)</t>
  </si>
  <si>
    <t>ROD_FOZ DO IGUAÇÚ (PR)</t>
  </si>
  <si>
    <t>ROD_AGÊNCIA SÃO JOÃO DA BARRA (RJ)</t>
  </si>
  <si>
    <t>ROD_SÃO JOSÉ DO RIO PRETO (SP)</t>
  </si>
  <si>
    <t>ROD_SÃO JOSÉ DO CALÇADO (ES)</t>
  </si>
  <si>
    <t>ROD_SOROCABA (SP)</t>
  </si>
  <si>
    <t>ROD_PIRAPETINGA (MG) [CNX]</t>
  </si>
  <si>
    <t>ROD_CAMPINAS SALA VIP (SP)</t>
  </si>
  <si>
    <t>ROD_BOM JESUS DO ITABAPOANA (RJ)</t>
  </si>
  <si>
    <t>ROD_TERMINAL RODOVIÁRIO BARRA FUNDA (SP)</t>
  </si>
  <si>
    <t>ROD_CAMPINAS (SP)</t>
  </si>
  <si>
    <t>ROD_MARINGÁ (PR)</t>
  </si>
  <si>
    <t>ROD_BETIM (MG)</t>
  </si>
  <si>
    <t>ROD_NOVA IGUAÇÚ (RJ)</t>
  </si>
  <si>
    <t>ROD_SANTOS (SP)</t>
  </si>
  <si>
    <t>ROD_GLÓRIA (RJ)</t>
  </si>
  <si>
    <t>ROD_AGÊNCIA SÃO FIDÉLIS (RJ)</t>
  </si>
  <si>
    <t>ROD_PORTO ALEGRE (RS)</t>
  </si>
  <si>
    <t>ROD_GUARULHOS (SP)</t>
  </si>
  <si>
    <t>ROD_SAARA PLAZA SHOPPING (RJ)</t>
  </si>
  <si>
    <t>ROD_MURIAÉ (MG)</t>
  </si>
  <si>
    <t>ROD_SÃO LEOPOLDO (RS)</t>
  </si>
  <si>
    <t>ROD_SÃO CAETANO DO SUL (SP)</t>
  </si>
  <si>
    <t>ROD_TOMBOS (MG)</t>
  </si>
  <si>
    <t>ROD_SANTA MARIA (RS)</t>
  </si>
  <si>
    <t>ROD_BLUMENAU (SC)</t>
  </si>
  <si>
    <t>ROD_INDAIAL (SC)</t>
  </si>
  <si>
    <t>ROD_ENSEADA (SC)</t>
  </si>
  <si>
    <t>ROD_PRAIA GRANDE VILA MIRIM (SP)</t>
  </si>
  <si>
    <t>ROD_SÃO BERNARDO DO CAMPO (SP)</t>
  </si>
  <si>
    <t>ROD_SHOPING PLAZA MACAÉ (RJ)</t>
  </si>
  <si>
    <t>ROD_NAVEGANTES (SC)</t>
  </si>
  <si>
    <t>ROD_NOVA FRIBURGO NORTE (RJ)</t>
  </si>
  <si>
    <t>ROD_PARANAGUÁ (PR)</t>
  </si>
  <si>
    <t>ROD_TERMINAL RODOVIÁRIO TIETÊ (SP) [CNX]</t>
  </si>
  <si>
    <t>ROD_SHOPPING TAMBORÉ (SP)</t>
  </si>
  <si>
    <t>ROD_DIADEMA (SP)</t>
  </si>
  <si>
    <t>ROD_ITAPERUNA (RJ)</t>
  </si>
  <si>
    <t>ROD_SHOPPING BOSSA NOVA MALL (RJ)</t>
  </si>
  <si>
    <t>ROD_OSASCO (SP)</t>
  </si>
  <si>
    <t>ROD_PIRACICABA (SP)</t>
  </si>
  <si>
    <t>ROD_CAMPOS DOS GOYTACAZES SHOPPING ESTRADA (RJ)</t>
  </si>
  <si>
    <t>ROD_APARECIDA (SP)</t>
  </si>
  <si>
    <t>ROD_TERMINAL RODOVIÁRIO TIETÊ (SP)</t>
  </si>
  <si>
    <t>ROD_ASSUNÇÃO (DCP)</t>
  </si>
  <si>
    <t>ROD_SÃO ROQUE (SP)</t>
  </si>
  <si>
    <t>ROD_OSASCO (SP) [TERMINAL ADICIONAL]</t>
  </si>
  <si>
    <t>ROD_ARRAIAL DO CABO (RJ)</t>
  </si>
  <si>
    <t>ROD_PRAIA GRANDE TUDE BASTOS (SP)</t>
  </si>
  <si>
    <t>ROD_SÃO JOSÉ DO RIO PRETO SALA VIP (SP)</t>
  </si>
  <si>
    <t>ROD_SÃO VICENTE (SP)</t>
  </si>
  <si>
    <t>ROD_FRANCA (SP)</t>
  </si>
  <si>
    <t>ROD_SANTO ANDRÉ (SP)</t>
  </si>
  <si>
    <t>ROD_GOVERNADOR VALADARES (MG)</t>
  </si>
  <si>
    <t>ROD_JOINVILLE (SC)</t>
  </si>
  <si>
    <t>ROD_JARAGUÁ DO SUL (SC)</t>
  </si>
  <si>
    <t>ROD_ITUPORANGA (SC)</t>
  </si>
  <si>
    <t>ROD_TAIÓ (SC)</t>
  </si>
  <si>
    <t>ROD_CRICIÚMA (SC)</t>
  </si>
  <si>
    <t>ROD_NITERÓI (RJ) [CNX]</t>
  </si>
  <si>
    <t>ROD_LORENA (SP)</t>
  </si>
  <si>
    <t>ROD_MARICÁ (RJ)</t>
  </si>
  <si>
    <t>ROD_ARARUAMA (RJ)</t>
  </si>
  <si>
    <t>ROD_BÚZIOS (RJ)</t>
  </si>
  <si>
    <t>ROD_ALFREDO WAGNER (SC)</t>
  </si>
  <si>
    <t>ROD_AGÊNCIA SANTA MARIA MADALENA (RJ)</t>
  </si>
  <si>
    <t>ROD_CAMPO MOURÃO (PR)</t>
  </si>
  <si>
    <t>ROD_CURITIBA (PR) [CNX]</t>
  </si>
  <si>
    <t>ROD_NOVA FRIBURGO SUL (RJ)</t>
  </si>
  <si>
    <t>ROD_BOMBINHAS (SC)</t>
  </si>
  <si>
    <t>ROD_LAGES (SC)</t>
  </si>
  <si>
    <t>ROD_MACAÉ (RJ)</t>
  </si>
  <si>
    <t>ROD_SANTA HELENA (PR)</t>
  </si>
  <si>
    <t>ROD_SÃO MIGUEL ARCANJO (SP)</t>
  </si>
  <si>
    <t>Localidades</t>
  </si>
  <si>
    <t>Sigla</t>
  </si>
  <si>
    <t>Abrev</t>
  </si>
  <si>
    <t>Núcleo</t>
  </si>
  <si>
    <t>ARARAQUARA - SP</t>
  </si>
  <si>
    <t>GR_ARARAQUARA (SP)</t>
  </si>
  <si>
    <t>GRAQA</t>
  </si>
  <si>
    <t>GT_UNIARA (SP) [GTAQA]</t>
  </si>
  <si>
    <t>GTAQA</t>
  </si>
  <si>
    <t>GT_EMPRESA CRUZ (SP)</t>
  </si>
  <si>
    <t>GTAQA.</t>
  </si>
  <si>
    <t>GR_BELO HORIZONTE [ABASTECIMENTO] (MG)</t>
  </si>
  <si>
    <t>GRBHZ_ABT</t>
  </si>
  <si>
    <t>BELO HORIZONTE - MG</t>
  </si>
  <si>
    <t>BELO HORIZONTE (TERMINAL JK) - MG</t>
  </si>
  <si>
    <t>TJK</t>
  </si>
  <si>
    <t>BTM</t>
  </si>
  <si>
    <t>ROD_AEROPORTO PAMPULHA (MG)</t>
  </si>
  <si>
    <t>APM</t>
  </si>
  <si>
    <t>GR_BELO HORIZONTE (MG)</t>
  </si>
  <si>
    <t>GRBHZ</t>
  </si>
  <si>
    <t>ROD_ROYAL HOTEL LOURDES (MG)</t>
  </si>
  <si>
    <t>BHR</t>
  </si>
  <si>
    <t>GT_BLUMENAU [ABASTECEDOR] (SC)</t>
  </si>
  <si>
    <t>GTBNU_ABA</t>
  </si>
  <si>
    <t>ROD_BETO CARRERO WORLD (SC)</t>
  </si>
  <si>
    <t>BCW</t>
  </si>
  <si>
    <t>BLUMENAU - SC</t>
  </si>
  <si>
    <t>BNUX</t>
  </si>
  <si>
    <t>RIO DO SUL - SC</t>
  </si>
  <si>
    <t>ITUPORANGA - SC</t>
  </si>
  <si>
    <t>ITU</t>
  </si>
  <si>
    <t>GT_TAIÓ (SC)</t>
  </si>
  <si>
    <t>GTTAI</t>
  </si>
  <si>
    <t>TAIO - SC</t>
  </si>
  <si>
    <t>INDAIAL - SC</t>
  </si>
  <si>
    <t>IDL</t>
  </si>
  <si>
    <t>GT_RIO DO SUL (SC)</t>
  </si>
  <si>
    <t>GTRIS</t>
  </si>
  <si>
    <t>PIÇARRAS (SC)</t>
  </si>
  <si>
    <t>PCR</t>
  </si>
  <si>
    <t>ROD_POUSO REDONDO (SC)</t>
  </si>
  <si>
    <t>PRD</t>
  </si>
  <si>
    <t>BRUSQUE - SC</t>
  </si>
  <si>
    <t>GE_BALNEÁRIO CAMBORIÚ (SC)</t>
  </si>
  <si>
    <t>GECMB</t>
  </si>
  <si>
    <t>BALNEARIO CAMBORIU - SC</t>
  </si>
  <si>
    <t>CMB</t>
  </si>
  <si>
    <t>ITAPEMA - SC</t>
  </si>
  <si>
    <t>ITM</t>
  </si>
  <si>
    <t>GT_CONCÓRDIA (SC)</t>
  </si>
  <si>
    <t>GTCCD</t>
  </si>
  <si>
    <t>CONCORDIA - SC</t>
  </si>
  <si>
    <t>GT_BOMBINHAS (SC)</t>
  </si>
  <si>
    <t>GTBBS</t>
  </si>
  <si>
    <t>BOMBINHAS - SC</t>
  </si>
  <si>
    <t>BBS</t>
  </si>
  <si>
    <t>GE_PIÇARRAS (SC)</t>
  </si>
  <si>
    <t>GEPCR</t>
  </si>
  <si>
    <t>PICARRAS - SC</t>
  </si>
  <si>
    <t>NVG</t>
  </si>
  <si>
    <t>ITAJAÍ (SC)</t>
  </si>
  <si>
    <t>POMERODE (SC)</t>
  </si>
  <si>
    <t>PMD</t>
  </si>
  <si>
    <t>GR_ITAJAÍ (SC)</t>
  </si>
  <si>
    <t>GRITJ</t>
  </si>
  <si>
    <t>GT_BLUMENAU (SC)</t>
  </si>
  <si>
    <t>GTBNU</t>
  </si>
  <si>
    <t>GR_RIO DO SUL (SC)</t>
  </si>
  <si>
    <t>GRRIS</t>
  </si>
  <si>
    <t>BALNEARIO CAMBORIU - SC (CONEXÃO)</t>
  </si>
  <si>
    <t>CMBX</t>
  </si>
  <si>
    <t>GT_BRUSQUE (SC)</t>
  </si>
  <si>
    <t>GTBRQ</t>
  </si>
  <si>
    <t>GT_BALNEÁRIO CAMBORIÚ (SC)</t>
  </si>
  <si>
    <t>GTCMB</t>
  </si>
  <si>
    <t>ROD_TIMBO (SC)</t>
  </si>
  <si>
    <t>TBO</t>
  </si>
  <si>
    <t>BUZIOS - RJ</t>
  </si>
  <si>
    <t>PDC</t>
  </si>
  <si>
    <t>GR_CABO FRIO (RJ)</t>
  </si>
  <si>
    <t>GRCBF</t>
  </si>
  <si>
    <t>CABO FRIO - RJ</t>
  </si>
  <si>
    <t>ARARUAMA - RJ</t>
  </si>
  <si>
    <t>ARRAIAL DO CABO - RJ</t>
  </si>
  <si>
    <t>ARR</t>
  </si>
  <si>
    <t>SAO PEDRO DA ALDEIA - RJ</t>
  </si>
  <si>
    <t>SAQUAREMA - RJ</t>
  </si>
  <si>
    <t>SAQ</t>
  </si>
  <si>
    <t>ROD_TREVO DE BÚZIOS (RJ)</t>
  </si>
  <si>
    <t>TBU</t>
  </si>
  <si>
    <t>PU_SILVA JARDIM (RJ)</t>
  </si>
  <si>
    <t>PUSJD</t>
  </si>
  <si>
    <t>GE_ESTACIONAMENTO ARRAIAL DO CABO (RJ)</t>
  </si>
  <si>
    <t>GEARR</t>
  </si>
  <si>
    <t>GR_ARARUAMA (RJ)</t>
  </si>
  <si>
    <t>GRARA</t>
  </si>
  <si>
    <t>BÚZIOS (RJ)</t>
  </si>
  <si>
    <t>BUZ</t>
  </si>
  <si>
    <t>ROD_MONTE ALTO (RJ)</t>
  </si>
  <si>
    <t>MAT</t>
  </si>
  <si>
    <t>CAMPINAS - SP</t>
  </si>
  <si>
    <t>GR_PIRACICABA (SP)</t>
  </si>
  <si>
    <t>GTPIC</t>
  </si>
  <si>
    <t>PIRACICABA - SP</t>
  </si>
  <si>
    <t>PIC</t>
  </si>
  <si>
    <t>ROD_CAMPINAS-CNX (SP)</t>
  </si>
  <si>
    <t>CPNX</t>
  </si>
  <si>
    <t>CAMPINAS (SALA VIP) - SP</t>
  </si>
  <si>
    <t>CPV</t>
  </si>
  <si>
    <t>GR_CAMPINAS (SP)</t>
  </si>
  <si>
    <t>GRCPN</t>
  </si>
  <si>
    <t>ROD_CAMPINAS GRAAL RAINHA (SP)</t>
  </si>
  <si>
    <t>CPR</t>
  </si>
  <si>
    <t>GT_ÁGUIA BRANCA (MG)</t>
  </si>
  <si>
    <t>GTABR</t>
  </si>
  <si>
    <t>GOVERNADOR VALADARES - MG</t>
  </si>
  <si>
    <t>GOV</t>
  </si>
  <si>
    <t>CAMPOS DOS GOY. (S.ESTRADA) - RJ</t>
  </si>
  <si>
    <t>CPSE</t>
  </si>
  <si>
    <t>CARATINGA - MG</t>
  </si>
  <si>
    <t>CAT</t>
  </si>
  <si>
    <t>GE_SÃO FIDÉLIS (RJ)</t>
  </si>
  <si>
    <t>GESFD</t>
  </si>
  <si>
    <t>SAO FIDELIS - RJ</t>
  </si>
  <si>
    <t>CARANGOLA - MG</t>
  </si>
  <si>
    <t>CRG</t>
  </si>
  <si>
    <t>BARRA DE ITABAPOANA - RJ</t>
  </si>
  <si>
    <t>BIT</t>
  </si>
  <si>
    <t>CAMPOS DOS GOY. (R.SILVEIRA) - RJ</t>
  </si>
  <si>
    <t>CGR</t>
  </si>
  <si>
    <t>FAROL DE SAO THOME - RJ</t>
  </si>
  <si>
    <t>FST</t>
  </si>
  <si>
    <t>SAO JOAO DA BARRA - RJ</t>
  </si>
  <si>
    <t>SJB</t>
  </si>
  <si>
    <t>CAMPOS DOS GOYTACAZES SHOPPING ESTRADA (RJ)</t>
  </si>
  <si>
    <t>CGE</t>
  </si>
  <si>
    <t>ROD_AGÊNCIA MORRO DO COCO</t>
  </si>
  <si>
    <t>MCC</t>
  </si>
  <si>
    <t>GE_FAROL SÃO TOMÉ (RJ)</t>
  </si>
  <si>
    <t>GEFST</t>
  </si>
  <si>
    <t>GR_CAMPOS DOS GOYTACAZES (RJ)</t>
  </si>
  <si>
    <t>GRCPS</t>
  </si>
  <si>
    <t>CURITIBA - PR</t>
  </si>
  <si>
    <t>CURITIBA (CNX) - PR</t>
  </si>
  <si>
    <t>CTBX</t>
  </si>
  <si>
    <t>CURITIBA (AEROPORTO) - PR</t>
  </si>
  <si>
    <t>AAP</t>
  </si>
  <si>
    <t>GT_PARANAGUÁ (PR)</t>
  </si>
  <si>
    <t>GTPRN</t>
  </si>
  <si>
    <t>PARANAGUÁ (PR)</t>
  </si>
  <si>
    <t>PRN</t>
  </si>
  <si>
    <t>GR_CURITIBA (PR)</t>
  </si>
  <si>
    <t>GRCTB</t>
  </si>
  <si>
    <t>PA_COSTA BRAVA (PR)</t>
  </si>
  <si>
    <t>PACBV</t>
  </si>
  <si>
    <t>PF_TERMINAL CENTRAL DE SÃO JOSÉ DOS PINHAIS (PR)</t>
  </si>
  <si>
    <t>PFSJP</t>
  </si>
  <si>
    <t>GUARAPUAVA - PR</t>
  </si>
  <si>
    <t>PA_PANORAMICO (PR)</t>
  </si>
  <si>
    <t>PAPAN</t>
  </si>
  <si>
    <t>ROD_PONTA GROSSA (PR)</t>
  </si>
  <si>
    <t>PA_SERRA DOURADA [REALEZA] (PR)</t>
  </si>
  <si>
    <t>PASRD</t>
  </si>
  <si>
    <t>FB_PRF CAMPINA GRANDE DO SUL (PR) [KM 56]</t>
  </si>
  <si>
    <t>FBCGS</t>
  </si>
  <si>
    <t>GR_CAXAMBU (MG)</t>
  </si>
  <si>
    <t>GRCXB</t>
  </si>
  <si>
    <t>CAXAMBU - MG</t>
  </si>
  <si>
    <t>CRUZILIA - MG</t>
  </si>
  <si>
    <t>CZI</t>
  </si>
  <si>
    <t>ANDRELANDIA - MG</t>
  </si>
  <si>
    <t>AND</t>
  </si>
  <si>
    <t>CONCEICAO DO RIO VERDE - MG</t>
  </si>
  <si>
    <t>CRV</t>
  </si>
  <si>
    <t>SAO LOURENCO - MG</t>
  </si>
  <si>
    <t>SLO</t>
  </si>
  <si>
    <t>FLORIANOPOLIS - SC</t>
  </si>
  <si>
    <t>GT_PORTO ALEGRE (RS) [PLANALTO]</t>
  </si>
  <si>
    <t>GTPAP</t>
  </si>
  <si>
    <t>PORTO ALEGRE - RS</t>
  </si>
  <si>
    <t>CRICIUMA - SC</t>
  </si>
  <si>
    <t>CRM</t>
  </si>
  <si>
    <t>GT_ARARANGUÁ (SC)</t>
  </si>
  <si>
    <t>GTARG</t>
  </si>
  <si>
    <t>ARARANGUA - SC</t>
  </si>
  <si>
    <t>ARG</t>
  </si>
  <si>
    <t>GT_SANTA MARIA (RS)</t>
  </si>
  <si>
    <t>GTSTM</t>
  </si>
  <si>
    <t>SANTA MARIA - RS</t>
  </si>
  <si>
    <t>VIDEIRA - SC</t>
  </si>
  <si>
    <t>VDR</t>
  </si>
  <si>
    <t>TUBARAO - SC</t>
  </si>
  <si>
    <t>TUB</t>
  </si>
  <si>
    <t>SÃO JOSÉ (SC)</t>
  </si>
  <si>
    <t>SJO</t>
  </si>
  <si>
    <t>GT_VIDEIRA (SC)</t>
  </si>
  <si>
    <t>GTVDR</t>
  </si>
  <si>
    <t>GT_PORTO ALEGRE (RS)</t>
  </si>
  <si>
    <t>GTPOA</t>
  </si>
  <si>
    <t>GR_FLORIANÓPOLIS (SC)</t>
  </si>
  <si>
    <t>GRFLN</t>
  </si>
  <si>
    <t>GT_ CRICIÚMA (SC)</t>
  </si>
  <si>
    <t>GTCRM</t>
  </si>
  <si>
    <t>ROD_AEROPORTO DE FLORIANÓPOLIS (SC)</t>
  </si>
  <si>
    <t>AFL</t>
  </si>
  <si>
    <t>ROD_TIJUCAS (SC)</t>
  </si>
  <si>
    <t>TJC</t>
  </si>
  <si>
    <t>ROD_BIGUAÇU (SC)</t>
  </si>
  <si>
    <t>BIG</t>
  </si>
  <si>
    <t>PA_RESTAURANTE NADIM VITÓRIA RÉGIA (SC)</t>
  </si>
  <si>
    <t>PANVR</t>
  </si>
  <si>
    <t>GT_CENTRAL TRANSPORTES RODOVIÁRIOS E TURISMO (RS)</t>
  </si>
  <si>
    <t>GTCTR</t>
  </si>
  <si>
    <t>SAO LEOPOLDO - RS</t>
  </si>
  <si>
    <t>SLE</t>
  </si>
  <si>
    <t>PA_RESTAURANTE JAPONÊS (SC)</t>
  </si>
  <si>
    <t>PARJP</t>
  </si>
  <si>
    <t>FOZ DO IGUACU - PR</t>
  </si>
  <si>
    <t>GT_SANTA HELENA (PR)</t>
  </si>
  <si>
    <t>GTSTH</t>
  </si>
  <si>
    <t>SANTA HELENA - PR</t>
  </si>
  <si>
    <t>STH</t>
  </si>
  <si>
    <t>CASCAVEL (PR)</t>
  </si>
  <si>
    <t>GT_ASSUNÇÃO (PY)</t>
  </si>
  <si>
    <t>GTASS</t>
  </si>
  <si>
    <t>ASSUNÇÃO (DCP)</t>
  </si>
  <si>
    <t>ASS</t>
  </si>
  <si>
    <t>GR_FOZ DO IGUAÇÚ (PR)</t>
  </si>
  <si>
    <t>GRFOZ</t>
  </si>
  <si>
    <t>ROD_MATELÂNDIA (PR)</t>
  </si>
  <si>
    <t>MTL</t>
  </si>
  <si>
    <t>ROD_MEDIANEIRA (PR)</t>
  </si>
  <si>
    <t>MDN</t>
  </si>
  <si>
    <t>NOVA FRIBURGO (SUL) - RJ</t>
  </si>
  <si>
    <t>FRIBURGO ROD</t>
  </si>
  <si>
    <t>GR_MACUCO (RJ)</t>
  </si>
  <si>
    <t>GRMCO</t>
  </si>
  <si>
    <t>MACUCO - RJ</t>
  </si>
  <si>
    <t>MCO</t>
  </si>
  <si>
    <t>NOVA FRIBURGO (NORTE) - RJ</t>
  </si>
  <si>
    <t>FRN</t>
  </si>
  <si>
    <t>SANTA MARIA MADALENA - RJ</t>
  </si>
  <si>
    <t>SMM</t>
  </si>
  <si>
    <t>CACHOEIRAS DE MACACU - RJ</t>
  </si>
  <si>
    <t>CMU</t>
  </si>
  <si>
    <t>FRIBURGO URB</t>
  </si>
  <si>
    <t>CANTAGALO - RJ</t>
  </si>
  <si>
    <t>CNT</t>
  </si>
  <si>
    <t>CORREGO DE SANTO ANTONIO - RJ</t>
  </si>
  <si>
    <t>CSA</t>
  </si>
  <si>
    <t>MONERAT - RJ</t>
  </si>
  <si>
    <t>MON</t>
  </si>
  <si>
    <t>NOVA FRIBURGO (CENTRO) - RJ</t>
  </si>
  <si>
    <t>NFC</t>
  </si>
  <si>
    <t>SAO JOSE DO RIBEIRAO - RJ</t>
  </si>
  <si>
    <t>SRI</t>
  </si>
  <si>
    <t>TRAJANO DE MORAIS - RJ</t>
  </si>
  <si>
    <t>TDM</t>
  </si>
  <si>
    <t>SAO SEBASTIAO DO ALTO - RJ</t>
  </si>
  <si>
    <t>SSA</t>
  </si>
  <si>
    <t>BANQUETE - RJ</t>
  </si>
  <si>
    <t>PUBQT</t>
  </si>
  <si>
    <t>BARRA DOS PASSOS - RJ</t>
  </si>
  <si>
    <t>PUBDP</t>
  </si>
  <si>
    <t>ROD_AGÊNCIA CORDEIRO (RJ)</t>
  </si>
  <si>
    <t>CRD</t>
  </si>
  <si>
    <t>ROD_BOM JARDIM (RJ)</t>
  </si>
  <si>
    <t>BJD</t>
  </si>
  <si>
    <t>GR_NOVA FRIBURGO (RJ)</t>
  </si>
  <si>
    <t>GRFRB</t>
  </si>
  <si>
    <t>GT_FRANCA (SP)</t>
  </si>
  <si>
    <t>GTFRC</t>
  </si>
  <si>
    <t>FRANCA - SP</t>
  </si>
  <si>
    <t>PIRAPETINGA - MG</t>
  </si>
  <si>
    <t>PIRX</t>
  </si>
  <si>
    <t>ITAPERUNA - RJ</t>
  </si>
  <si>
    <t>GE_SÃO JOSÉ DO CALÇADO (ES)</t>
  </si>
  <si>
    <t>GECLC</t>
  </si>
  <si>
    <t>SAO JOSE DO CALCADO - ES</t>
  </si>
  <si>
    <t>CLC</t>
  </si>
  <si>
    <t>GT_ZEMA (MG)</t>
  </si>
  <si>
    <t>GTZEM</t>
  </si>
  <si>
    <t>TOMBOS - MG</t>
  </si>
  <si>
    <t>TMB</t>
  </si>
  <si>
    <t>ALEM PARAIBA (JMPR) - MG</t>
  </si>
  <si>
    <t>JMP</t>
  </si>
  <si>
    <t>GR_BOM JESUS DO ITABAPOANA (RJ)</t>
  </si>
  <si>
    <t>GRBJS</t>
  </si>
  <si>
    <t>BOM JESUS DO ITABAPOANA - RJ</t>
  </si>
  <si>
    <t>BJS</t>
  </si>
  <si>
    <t>MIRACEMA - RJ</t>
  </si>
  <si>
    <t>MRC</t>
  </si>
  <si>
    <t>GE_PORCIÚNCULA (RJ)</t>
  </si>
  <si>
    <t>GEPOR</t>
  </si>
  <si>
    <t>PORCIUNCULA - RJ</t>
  </si>
  <si>
    <t>POR</t>
  </si>
  <si>
    <t>ROD_AGÊNCIA LAJE DO MURIAÉ (RJ)</t>
  </si>
  <si>
    <t>LMU</t>
  </si>
  <si>
    <t>ROD_AGÊNCIA PATROCÍNIO DO MURIAÉ (MG)</t>
  </si>
  <si>
    <t>PMU</t>
  </si>
  <si>
    <t>ROD_AGÊNCIA SÃO JOÃO DO PARAÍSO (RJ)</t>
  </si>
  <si>
    <t>SJP</t>
  </si>
  <si>
    <t>ROD_AGÊNCIA ALÉM PARAÍBA (MG)</t>
  </si>
  <si>
    <t>ALP</t>
  </si>
  <si>
    <t>ROD_AGÊNCIA CARDOSO MOREIRA (RJ)</t>
  </si>
  <si>
    <t>CMR</t>
  </si>
  <si>
    <t>GR_ITAPERUNA (RJ)</t>
  </si>
  <si>
    <t>GRITA</t>
  </si>
  <si>
    <t>MURIAÉ (MG)</t>
  </si>
  <si>
    <t>MUR</t>
  </si>
  <si>
    <t>GE_BOM JESUS DO NORTE (ES)</t>
  </si>
  <si>
    <t>GEBJN</t>
  </si>
  <si>
    <t>GT_BOM JESUS DO NORTE (ES)</t>
  </si>
  <si>
    <t>GTBJN</t>
  </si>
  <si>
    <t>PA_MEGA GRILL JAMAPARÁ (RJ)</t>
  </si>
  <si>
    <t>PAJMP</t>
  </si>
  <si>
    <t>GT_TRANSPEN (SP) [GTITP]</t>
  </si>
  <si>
    <t>GTITP</t>
  </si>
  <si>
    <t>ITAPETININGA - SP</t>
  </si>
  <si>
    <t>PF_CAPELA NOSSA SENHORA APARECIDA (MG)</t>
  </si>
  <si>
    <t>PFNSA</t>
  </si>
  <si>
    <t>PF_PADARIA PAULISTA CENTRO JUIZ DE FORA (MG)</t>
  </si>
  <si>
    <t>PFJFC</t>
  </si>
  <si>
    <t>JUIZ DE FORA - MG</t>
  </si>
  <si>
    <t>GR_JUÍZ DE FORA (MG)</t>
  </si>
  <si>
    <t>GRJDF</t>
  </si>
  <si>
    <t>JUNDIAI - SP</t>
  </si>
  <si>
    <t>GR_JUNDIAÍ (SP)</t>
  </si>
  <si>
    <t>GRJDI</t>
  </si>
  <si>
    <t>GT_JARAGUÁ DO SUL (SC)</t>
  </si>
  <si>
    <t>GTJGS</t>
  </si>
  <si>
    <t>JARAGUA DO SUL - SC</t>
  </si>
  <si>
    <t>JOINVILLE - SC</t>
  </si>
  <si>
    <t>GT_MAFRA (SC)</t>
  </si>
  <si>
    <t>GTMFR</t>
  </si>
  <si>
    <t>GTMRF</t>
  </si>
  <si>
    <t>MAFRA - SC</t>
  </si>
  <si>
    <t>MFR</t>
  </si>
  <si>
    <t>ENSEADA - SC</t>
  </si>
  <si>
    <t>NAVEGANTES - SC</t>
  </si>
  <si>
    <t>GT_UBATUBA (SC)</t>
  </si>
  <si>
    <t>GTUBT</t>
  </si>
  <si>
    <t>SAO FRANCISCO DO SUL - SC</t>
  </si>
  <si>
    <t>ARAQUARI (SC)</t>
  </si>
  <si>
    <t>ARQ</t>
  </si>
  <si>
    <t>GR_JOINVILLE (SC)</t>
  </si>
  <si>
    <t>GRJOI</t>
  </si>
  <si>
    <t>ROD_RIO NEGRINHO (SC)</t>
  </si>
  <si>
    <t>RNG</t>
  </si>
  <si>
    <t>ROD_GARUVA (SC)</t>
  </si>
  <si>
    <t>GRV</t>
  </si>
  <si>
    <t>GT_GRANDTOUR (PR)</t>
  </si>
  <si>
    <t>GTGRN</t>
  </si>
  <si>
    <t>GT_MARINGÁ (PR)</t>
  </si>
  <si>
    <t>GTMRG</t>
  </si>
  <si>
    <t>GT_JUTUR (PR)</t>
  </si>
  <si>
    <t>GTJUT</t>
  </si>
  <si>
    <t>MARINGA - PR</t>
  </si>
  <si>
    <t>MRG</t>
  </si>
  <si>
    <t>GT_CAMPO MOURÃO (PR)</t>
  </si>
  <si>
    <t>GTCMO</t>
  </si>
  <si>
    <t>CAMPO MOURAO - PR</t>
  </si>
  <si>
    <t>CMO</t>
  </si>
  <si>
    <t>LONDRINA - PR</t>
  </si>
  <si>
    <t>LAGES - SC</t>
  </si>
  <si>
    <t>ROD_CORREIA PINTO (SC)</t>
  </si>
  <si>
    <t>CPT</t>
  </si>
  <si>
    <t>GT_LAGES (SC)</t>
  </si>
  <si>
    <t>GTLGS</t>
  </si>
  <si>
    <t>ROD_SÃO JOAQUIM (SC)</t>
  </si>
  <si>
    <t>SJQ</t>
  </si>
  <si>
    <t>GT_VITÓRIA TRANSPORTE E TURISMO (SC)</t>
  </si>
  <si>
    <t>GTVTT</t>
  </si>
  <si>
    <t>ROD_CAÇADOR (SC)</t>
  </si>
  <si>
    <t>CAC</t>
  </si>
  <si>
    <t>APARECIDA - SP</t>
  </si>
  <si>
    <t>APA</t>
  </si>
  <si>
    <t>LORENA - SP</t>
  </si>
  <si>
    <t>GR_LORENA (SP)</t>
  </si>
  <si>
    <t>GRLRN</t>
  </si>
  <si>
    <t>GT_LORENA (SP)</t>
  </si>
  <si>
    <t>GTLRN</t>
  </si>
  <si>
    <t>GT_APARECIDA (SP)</t>
  </si>
  <si>
    <t>GTAPA</t>
  </si>
  <si>
    <t>GT_TRANSPORTADORA MACABÚ (RJ)</t>
  </si>
  <si>
    <t>GTMCB</t>
  </si>
  <si>
    <t>MACAÉ</t>
  </si>
  <si>
    <t>CONCEICAO DE MACABU - RJ</t>
  </si>
  <si>
    <t>MCB</t>
  </si>
  <si>
    <t>MACAE - RJ</t>
  </si>
  <si>
    <t>GT_QUISSANTUR (RJ)</t>
  </si>
  <si>
    <t>GTQSS</t>
  </si>
  <si>
    <t>QUISSAMA - RJ</t>
  </si>
  <si>
    <t>QSS</t>
  </si>
  <si>
    <t>GE_PARQUEAMENTO ZONA ZEN (RJ)</t>
  </si>
  <si>
    <t>GEZEN</t>
  </si>
  <si>
    <t>GE_RIO DAS OSTRAS (RJ)</t>
  </si>
  <si>
    <t>GERDO</t>
  </si>
  <si>
    <t>RIO DAS OSTRAS - RJ</t>
  </si>
  <si>
    <t>BARRA DE SAO JOAO - RJ</t>
  </si>
  <si>
    <t>BSJ</t>
  </si>
  <si>
    <t>PARQUE DOS TUBOS - RJ</t>
  </si>
  <si>
    <t>PDT</t>
  </si>
  <si>
    <t>QUEIMADOS - RJ</t>
  </si>
  <si>
    <t>UDQ</t>
  </si>
  <si>
    <t>SHOPING PLAZA MACAÉ (RJ)</t>
  </si>
  <si>
    <t>SPM</t>
  </si>
  <si>
    <t>PU_SODRELANDIA (RJ) [URBANO]</t>
  </si>
  <si>
    <t>PUSOD</t>
  </si>
  <si>
    <t>ROD_AGÊNCIA UNAMAR AQUARIUS (RJ)</t>
  </si>
  <si>
    <t>UNA</t>
  </si>
  <si>
    <t>ROD_CASIMIRO DE ABREU (RJ)</t>
  </si>
  <si>
    <t>CAS</t>
  </si>
  <si>
    <t>ROD_VERÃO VERMELHO (RJ)</t>
  </si>
  <si>
    <t>VVR</t>
  </si>
  <si>
    <t>GR_RIO DAS OSTRAS (RJ)</t>
  </si>
  <si>
    <t>GRRDO</t>
  </si>
  <si>
    <t>GR_MACAÉ (RJ)</t>
  </si>
  <si>
    <t>GRMAC</t>
  </si>
  <si>
    <t>SAARA PLAZA SHOPPING (RJ)</t>
  </si>
  <si>
    <t>SAA</t>
  </si>
  <si>
    <t>AGÊNCIA UNAMAR CENTRO (RJ)</t>
  </si>
  <si>
    <t>UNC</t>
  </si>
  <si>
    <t>GR_UNAMAR (RJ)</t>
  </si>
  <si>
    <t>GRUNA</t>
  </si>
  <si>
    <t>PA_OASIS CASIMIRO DE ABREU (RJ)</t>
  </si>
  <si>
    <t>PACAS</t>
  </si>
  <si>
    <t>NITEROI (CNX) - RJ</t>
  </si>
  <si>
    <t>TJG</t>
  </si>
  <si>
    <t>NITEROI</t>
  </si>
  <si>
    <t>GR_MARUÍ (RJ)</t>
  </si>
  <si>
    <t>GRNIT</t>
  </si>
  <si>
    <t>AGUAS DA PRATA - SP</t>
  </si>
  <si>
    <t>AGP</t>
  </si>
  <si>
    <t>GT_2000 TURISMO (MG) [GTPCS]</t>
  </si>
  <si>
    <t>GTPCS</t>
  </si>
  <si>
    <t>GR_POÇOS DE CALDAS (MG)</t>
  </si>
  <si>
    <t>GRPCS</t>
  </si>
  <si>
    <t>POCOS DE CALDAS - MG</t>
  </si>
  <si>
    <t>CNX AGP - SP</t>
  </si>
  <si>
    <t>AGPX</t>
  </si>
  <si>
    <t>RIBEIRAO PRETO - SP</t>
  </si>
  <si>
    <t>RIBEIRÃO</t>
  </si>
  <si>
    <t>SERTÃOZINHO (SP)</t>
  </si>
  <si>
    <t>SZI</t>
  </si>
  <si>
    <t>ROD_RIBEIRÃO PRETO (SP) [TREVO GRAAL]</t>
  </si>
  <si>
    <t>RPG</t>
  </si>
  <si>
    <t>GR_RIBEIRÃO PRETO (SP)</t>
  </si>
  <si>
    <t>GRRAO</t>
  </si>
  <si>
    <t>FB_PRF MIRACATU (SP) [KM 344]</t>
  </si>
  <si>
    <t>FBMCT</t>
  </si>
  <si>
    <t>PA_GRAAL BUENOS AIRES (SP)</t>
  </si>
  <si>
    <t>PABUA</t>
  </si>
  <si>
    <t>PA_GRAAL PETROPEN (SP)</t>
  </si>
  <si>
    <t>PAPTP</t>
  </si>
  <si>
    <t>SAO VICENTE DE PAULA - RJ</t>
  </si>
  <si>
    <t>SVP</t>
  </si>
  <si>
    <t>GT_TURSAN (RJ)</t>
  </si>
  <si>
    <t>GTTUR</t>
  </si>
  <si>
    <t>GT_TURSAN (RJ) [AVENIDA BRASIL]</t>
  </si>
  <si>
    <t>GTSAN</t>
  </si>
  <si>
    <t>GT_VIAÇÃO ESTRELA (RJ)</t>
  </si>
  <si>
    <t>GTEST</t>
  </si>
  <si>
    <t>GT_POSTO SANTA EDWIDGES (RJ)</t>
  </si>
  <si>
    <t>GTSTE</t>
  </si>
  <si>
    <t>GT_UTIL CURICICA (RJ)</t>
  </si>
  <si>
    <t>GTUTC</t>
  </si>
  <si>
    <t>GT_ITAPEMIRIM (RJ)</t>
  </si>
  <si>
    <t>GTIMR</t>
  </si>
  <si>
    <t>RIO DE JANEIRO (NOVO RIO) - RJ</t>
  </si>
  <si>
    <t>TNR</t>
  </si>
  <si>
    <t>GR_FIGUEIRA (RJ)</t>
  </si>
  <si>
    <t>GRFIG</t>
  </si>
  <si>
    <t>NITEROI - RJ</t>
  </si>
  <si>
    <t>NITEROI - RJ (CONEXAO)</t>
  </si>
  <si>
    <t>NITX</t>
  </si>
  <si>
    <t>RIO DE JANEIRO (CAMPO GRANDE) - RJ</t>
  </si>
  <si>
    <t>DUQUE DE CAXIAS - RJ</t>
  </si>
  <si>
    <t>DCX</t>
  </si>
  <si>
    <t>GT_NOSSA SENHORA DO AMPARO MARICÁ (RJ)</t>
  </si>
  <si>
    <t>GTAMP</t>
  </si>
  <si>
    <t>MARICA - RJ</t>
  </si>
  <si>
    <t>RIO DE JANEIRO (GLORIA) - RJ</t>
  </si>
  <si>
    <t>GLR</t>
  </si>
  <si>
    <t>RIO DE JANEIRO (BARRA DA TIJUCA) - RJ</t>
  </si>
  <si>
    <t>BTJ</t>
  </si>
  <si>
    <t>AEROPORTO GALEAO - RJ</t>
  </si>
  <si>
    <t>GIG</t>
  </si>
  <si>
    <t>MANILHA - RJ</t>
  </si>
  <si>
    <t>MNL</t>
  </si>
  <si>
    <t>NITEROI (TERMINAL BARCAS) - RJ</t>
  </si>
  <si>
    <t>CNX</t>
  </si>
  <si>
    <t>GT_EVANIL TRANSPORTES (RJ)</t>
  </si>
  <si>
    <t>GTEVT</t>
  </si>
  <si>
    <t>GT_POSTO PADDOCK (RJ)</t>
  </si>
  <si>
    <t>GTPDK</t>
  </si>
  <si>
    <t>NOVA IGUACU - RJ</t>
  </si>
  <si>
    <t>NIG</t>
  </si>
  <si>
    <t>AEROPORTO SANTOS DUMONT - RJ</t>
  </si>
  <si>
    <t>SDU</t>
  </si>
  <si>
    <t>GT_TJ TURISMO (RJ)</t>
  </si>
  <si>
    <t>GTPTJ</t>
  </si>
  <si>
    <t>RIO DE JANEIRO (AEROP SDU-BOSSA MALL) - RJ</t>
  </si>
  <si>
    <t>RJO</t>
  </si>
  <si>
    <t>SHOPPING BOSSA NOVA MALL (RJ)</t>
  </si>
  <si>
    <t>BNM</t>
  </si>
  <si>
    <t>AGÊNCIA RAPOSO (RJ)</t>
  </si>
  <si>
    <t>RAP</t>
  </si>
  <si>
    <t>PU_TERMNAL MENEZES CORTÊS (RJ) [URBANO]</t>
  </si>
  <si>
    <t>PUMNZ</t>
  </si>
  <si>
    <t>ROD_NILÓPOLIS (RJ)</t>
  </si>
  <si>
    <t>NIL</t>
  </si>
  <si>
    <t>PU_MATERNIDADE ALZIRA REIS CHARITAS (RJ) [URBANO]</t>
  </si>
  <si>
    <t>PUCHA</t>
  </si>
  <si>
    <t>PU_ITAIPU (RJ)</t>
  </si>
  <si>
    <t>PUITP</t>
  </si>
  <si>
    <t>PU_AVENIDA ACURCIO TORRES (RJ)</t>
  </si>
  <si>
    <t>PUAAT</t>
  </si>
  <si>
    <t>ROD_REGIÃO MANGUINHOS (RJ)</t>
  </si>
  <si>
    <t>RMG</t>
  </si>
  <si>
    <t>GR_SINERGIA CAJU (RJ)</t>
  </si>
  <si>
    <t>GRRJO</t>
  </si>
  <si>
    <t>PU_SANTOS DUMOND (RJ) [URBANO]</t>
  </si>
  <si>
    <t>PUSDU</t>
  </si>
  <si>
    <t>PD_SERRINHA (RJ) [AUTOPISTA FLUMINENSE]</t>
  </si>
  <si>
    <t>PDSRR</t>
  </si>
  <si>
    <t>PD_ARUJÁ (SP) [CCR NOVA DUTRA]</t>
  </si>
  <si>
    <t>PDARJ</t>
  </si>
  <si>
    <t>PD_ARUJÁ OESTE (SP) [CCR NOVA DUTRA]</t>
  </si>
  <si>
    <t>PDAJO</t>
  </si>
  <si>
    <t>ROD_AEROTOWN POWER CENTER</t>
  </si>
  <si>
    <t>ATW</t>
  </si>
  <si>
    <t>PU_CASTELÃO [CNX] (RJ)</t>
  </si>
  <si>
    <t>PUCAS</t>
  </si>
  <si>
    <t>ROD_LEME (RJ)</t>
  </si>
  <si>
    <t>LEM</t>
  </si>
  <si>
    <t>ROD_BARRA DO PIRAÍ (RJ)</t>
  </si>
  <si>
    <t>BPI</t>
  </si>
  <si>
    <t>ROD_AGÊNCIA CAMBUCI (RJ)</t>
  </si>
  <si>
    <t>CBC</t>
  </si>
  <si>
    <t>ROD_MANOEL RIBEIRO (RJ)</t>
  </si>
  <si>
    <t>MRB</t>
  </si>
  <si>
    <t>PA_GRAAL RESENDE (RJ)</t>
  </si>
  <si>
    <t>PARSD</t>
  </si>
  <si>
    <t>PF_TIJUCA (RJ)</t>
  </si>
  <si>
    <t>PFTJC</t>
  </si>
  <si>
    <t>GT_NILOPOLITANA (RJ)</t>
  </si>
  <si>
    <t>GTNIL</t>
  </si>
  <si>
    <t>ROD_AGÊNCIA IGUABA (RJ)</t>
  </si>
  <si>
    <t>IGU</t>
  </si>
  <si>
    <t>PA_OASIS GRAAL CAMPOS (RJ)</t>
  </si>
  <si>
    <t>PACPS</t>
  </si>
  <si>
    <t>PA_GRAAL ITATIAIA (RJ)</t>
  </si>
  <si>
    <t>PAITT</t>
  </si>
  <si>
    <t>PD_VIA LAGOS (RJ) [CCR VIA LAGOS]</t>
  </si>
  <si>
    <t>PDVLG</t>
  </si>
  <si>
    <t>PF_BOA ESPERANÇA (RJ)</t>
  </si>
  <si>
    <t>PFBES</t>
  </si>
  <si>
    <t>PI_FIM SERRA DAS ARARAS (RJ) [SUBIDA]</t>
  </si>
  <si>
    <t>PIFSS</t>
  </si>
  <si>
    <t>ROD_SÃO GONÇALO (RJ)</t>
  </si>
  <si>
    <t>SGL</t>
  </si>
  <si>
    <t>ROD_TRAVESSÃO (RJ)</t>
  </si>
  <si>
    <t>TRA</t>
  </si>
  <si>
    <t>ROD_BACAXÁ (RJ)</t>
  </si>
  <si>
    <t>BCX</t>
  </si>
  <si>
    <t>PA_GRAAL OASIS RIO BONITO (RJ)</t>
  </si>
  <si>
    <t>PAGVL</t>
  </si>
  <si>
    <t>GT_VIAÇÃO TERESÓPOLIS (RJ)</t>
  </si>
  <si>
    <t>GTTER</t>
  </si>
  <si>
    <t>PI_DUTRA KM 194 (SP)</t>
  </si>
  <si>
    <t>PID94</t>
  </si>
  <si>
    <t>FB_BALANÇA RESENDE (RJ)</t>
  </si>
  <si>
    <t>FBRSD</t>
  </si>
  <si>
    <t>PF_PRAÇA DO OUTEIRO (RJ)</t>
  </si>
  <si>
    <t>PFPCO</t>
  </si>
  <si>
    <t>PD_SEROPÉDICA NORTE (RJ) [CCR NOVA DUTRA]</t>
  </si>
  <si>
    <t>PDSNO</t>
  </si>
  <si>
    <t>ROD_ASSAÍ NITERÓI (RJ)</t>
  </si>
  <si>
    <t>ANI</t>
  </si>
  <si>
    <t>ROD_AGÊNCIA ALCÂNTARA (RJ)</t>
  </si>
  <si>
    <t>ALC</t>
  </si>
  <si>
    <t>PF_PARAÍSO SÃO GONÇALO (RJ)</t>
  </si>
  <si>
    <t>PFPSG</t>
  </si>
  <si>
    <t>GR_G1 MATRIZ (SP) [45 GRAUS]</t>
  </si>
  <si>
    <t>GRGR1_45G</t>
  </si>
  <si>
    <t>SÃO PAULO</t>
  </si>
  <si>
    <t>SAO PAULO (TIETE) - SP</t>
  </si>
  <si>
    <t>TRT</t>
  </si>
  <si>
    <t>OSASCO - SP</t>
  </si>
  <si>
    <t>OSC</t>
  </si>
  <si>
    <t>SAO BERNARDO DO CAMPO - SP</t>
  </si>
  <si>
    <t>SAO CAETANO DO SUL - SP</t>
  </si>
  <si>
    <t>SCS</t>
  </si>
  <si>
    <t>SAO PAULO (BARRA FUNDA) - SP</t>
  </si>
  <si>
    <t>TBF</t>
  </si>
  <si>
    <t>SAO PAULO (SHOPPING TAMBORE) - SP</t>
  </si>
  <si>
    <t>TAM</t>
  </si>
  <si>
    <t>S.P - CNX (TIETE) - SP</t>
  </si>
  <si>
    <t>TRTX</t>
  </si>
  <si>
    <t>DIADEMA - SP</t>
  </si>
  <si>
    <t>DAD</t>
  </si>
  <si>
    <t>SANTO ANDRE - SP</t>
  </si>
  <si>
    <t>STA</t>
  </si>
  <si>
    <t>SAO PAULO ( B ) - SP</t>
  </si>
  <si>
    <t>BRS</t>
  </si>
  <si>
    <t>OSASCO (TERM. ADICIONAL) - SP</t>
  </si>
  <si>
    <t>OSCT</t>
  </si>
  <si>
    <t>EMBU DAS ARTES - SP</t>
  </si>
  <si>
    <t>MBU</t>
  </si>
  <si>
    <t>CAMPOS ELÍSIOS (SP)</t>
  </si>
  <si>
    <t>CEL</t>
  </si>
  <si>
    <t>OSASCO (SP) [TERMINAL ADICIONAL]</t>
  </si>
  <si>
    <t>OST</t>
  </si>
  <si>
    <t>SÃO JOSÉ DOS CAMPOS (SP)</t>
  </si>
  <si>
    <t>SJC</t>
  </si>
  <si>
    <t>SÃO CARLOS (SP)</t>
  </si>
  <si>
    <t>SCL</t>
  </si>
  <si>
    <t>EMBÚ DAS ARTES (SP)</t>
  </si>
  <si>
    <t>EMB</t>
  </si>
  <si>
    <t>ROD_SANTA MÃE DE DEUS (SP)</t>
  </si>
  <si>
    <t>SMD</t>
  </si>
  <si>
    <t>ROD_BRÁS (SP) [R]</t>
  </si>
  <si>
    <t>BRR</t>
  </si>
  <si>
    <t>GR_G1 MATRIZ (SP)</t>
  </si>
  <si>
    <t>GRGR1</t>
  </si>
  <si>
    <t>GR_SINERGIA G3 (SP)</t>
  </si>
  <si>
    <t>GRGR3</t>
  </si>
  <si>
    <t>ROD_RESENDE (RJ)</t>
  </si>
  <si>
    <t>RSD</t>
  </si>
  <si>
    <t>ROD_GRAAL RAINHA (SP) [ADICIONAL]</t>
  </si>
  <si>
    <t>TCG</t>
  </si>
  <si>
    <t>ROD_TERMINAL GRANDE ALVARENGA (SP)</t>
  </si>
  <si>
    <t>TGA</t>
  </si>
  <si>
    <t>PA_GRAAL RAINHA (SP)</t>
  </si>
  <si>
    <t>PARAI</t>
  </si>
  <si>
    <t>GE_MANGUEIRÃO TIETÊ (SP)</t>
  </si>
  <si>
    <t>GETRT</t>
  </si>
  <si>
    <t>ROD_TREVO CRAVINHOS (SP)</t>
  </si>
  <si>
    <t>CRA</t>
  </si>
  <si>
    <t>FB_PRF BARRA DO TURVO (SP) [KM 526]</t>
  </si>
  <si>
    <t>FBBDT</t>
  </si>
  <si>
    <t>ROD_MOGI GUAÇÚ (SP)</t>
  </si>
  <si>
    <t>MGU</t>
  </si>
  <si>
    <t>PA_GRAAL ESTIVA (MG)</t>
  </si>
  <si>
    <t>PAEST</t>
  </si>
  <si>
    <t>PA_GRAAL ALEMÃO (SP)</t>
  </si>
  <si>
    <t>PAGAL</t>
  </si>
  <si>
    <t>PD_JACAREÍ NORTE (SP) [CCR NOVA DUTRA]</t>
  </si>
  <si>
    <t>PDJCN</t>
  </si>
  <si>
    <t>PI_MAIRIPORÃ (SP)</t>
  </si>
  <si>
    <t>PIMRP</t>
  </si>
  <si>
    <t>GE_MANGUEIRÃO BARRA FUNDA (SP)</t>
  </si>
  <si>
    <t>GETBF</t>
  </si>
  <si>
    <t>GT_TERMINAL RODOVIÁRIO BARRA FUNDA (SP)</t>
  </si>
  <si>
    <t>GTTBF</t>
  </si>
  <si>
    <t>GT_GUARULHOS (SP)</t>
  </si>
  <si>
    <t>GTTRG</t>
  </si>
  <si>
    <t>ROD_ITAPEVI (SP)</t>
  </si>
  <si>
    <t>ITV</t>
  </si>
  <si>
    <t>PA_BATISTELLA (MG)</t>
  </si>
  <si>
    <t>PABTL</t>
  </si>
  <si>
    <t>PA_GRAAL BELA VISTA (MG)</t>
  </si>
  <si>
    <t>PAGBV</t>
  </si>
  <si>
    <t>PA_GRAAL OLIVEIRA (MG)</t>
  </si>
  <si>
    <t>PAGOL</t>
  </si>
  <si>
    <t>PA_GRAAL TOPÁZIO (SP)</t>
  </si>
  <si>
    <t>PAGTP</t>
  </si>
  <si>
    <t>PA_PARADOURO BATISTELLA (SP)</t>
  </si>
  <si>
    <t>PAPBA</t>
  </si>
  <si>
    <t>PD_CATIGUÁ NORTE (SP) [TRIÂNGULO DO SOL]</t>
  </si>
  <si>
    <t>PDCGN</t>
  </si>
  <si>
    <t>PF_SOLEMAR (SP)</t>
  </si>
  <si>
    <t>PFSOL</t>
  </si>
  <si>
    <t>FB_CASTELO BRANCO - KM 25 (SP) [INTERIOR]</t>
  </si>
  <si>
    <t>FBBBR</t>
  </si>
  <si>
    <t>PD_CAJATI (SP) [AUTOPISTA RÉGIS BITTENCOURT]</t>
  </si>
  <si>
    <t>PDCAJ</t>
  </si>
  <si>
    <t>ROD_CAÇAPAVA (SP)</t>
  </si>
  <si>
    <t>CCP</t>
  </si>
  <si>
    <t>PT_CACHOEIRA BRANCA [SANTA ISABEL] (SP)</t>
  </si>
  <si>
    <t>PTCAB</t>
  </si>
  <si>
    <t>ROD_TAUBATÉ (SP)</t>
  </si>
  <si>
    <t>TBT</t>
  </si>
  <si>
    <t>PA_GRAAL ESTRELA (SP)</t>
  </si>
  <si>
    <t>PAGTL</t>
  </si>
  <si>
    <t>PT_GRAMADINHO [ITAPETININGA] (SP)</t>
  </si>
  <si>
    <t>PTGRM</t>
  </si>
  <si>
    <t>SOROCABA - SP</t>
  </si>
  <si>
    <t>SAO ROQUE - SP</t>
  </si>
  <si>
    <t>SRO</t>
  </si>
  <si>
    <t>SÃO MIGUEL ARCANJO (SP)</t>
  </si>
  <si>
    <t>SMO</t>
  </si>
  <si>
    <t>TATUÍ (SP)</t>
  </si>
  <si>
    <t>TTI</t>
  </si>
  <si>
    <t>GR_SOROCABA (SP)</t>
  </si>
  <si>
    <t>GRSCB</t>
  </si>
  <si>
    <t>GE_SÃO ROQUE (SP)</t>
  </si>
  <si>
    <t>GESRO</t>
  </si>
  <si>
    <t>ROD_VILA AEROPORTO (SP)</t>
  </si>
  <si>
    <t>VLA</t>
  </si>
  <si>
    <t>S. J. RIO PRETO</t>
  </si>
  <si>
    <t>GT_HOTEL TATIANA (SP)</t>
  </si>
  <si>
    <t>GTHRP</t>
  </si>
  <si>
    <t>GR_SÃO JOSÉ DO RIO PRETO (SP)</t>
  </si>
  <si>
    <t>GRSJR</t>
  </si>
  <si>
    <t>SAO JOSE DO RIO PRETO - SP</t>
  </si>
  <si>
    <t>RIOLANDIA - SP</t>
  </si>
  <si>
    <t>RLA</t>
  </si>
  <si>
    <t>SÃO JOSÉ DO RIO PRETO SALA VIP (SP)</t>
  </si>
  <si>
    <t>SJV</t>
  </si>
  <si>
    <t>ROD_SÃO JOSÉ DO RIO PRETO (SP) [SHC]</t>
  </si>
  <si>
    <t>SHC</t>
  </si>
  <si>
    <t>ROD_CATANDUVA (SP)</t>
  </si>
  <si>
    <t>CTV</t>
  </si>
  <si>
    <t>ROD_AMERICANA (SP)</t>
  </si>
  <si>
    <t>AMA</t>
  </si>
  <si>
    <t>GT_EXPRESSO ITAMARATI (SP) [GTSJR]</t>
  </si>
  <si>
    <t>GTSJR</t>
  </si>
  <si>
    <t>SANTOS - SP</t>
  </si>
  <si>
    <t>PRAIA GRANDE (VILA MIRIM) - SP</t>
  </si>
  <si>
    <t>PGV</t>
  </si>
  <si>
    <t>SAO VICENTE - SP</t>
  </si>
  <si>
    <t>MOGI DAS CRUZES - SP</t>
  </si>
  <si>
    <t>MGS</t>
  </si>
  <si>
    <t>PRAIA GRANDE (TUDE BASTOS) - SP</t>
  </si>
  <si>
    <t>PGT</t>
  </si>
  <si>
    <t>GUARUJA - SP</t>
  </si>
  <si>
    <t>GJA</t>
  </si>
  <si>
    <t>SANTOS (PONTA DA PRAIA) - SP</t>
  </si>
  <si>
    <t>PTA</t>
  </si>
  <si>
    <t>GUARULHOS (RODOVIARIA) - SP</t>
  </si>
  <si>
    <t>TRG</t>
  </si>
  <si>
    <t>MONGAGUA - SP</t>
  </si>
  <si>
    <t>MGA</t>
  </si>
  <si>
    <t>SAO PAULO (JABAQUARA) - SP</t>
  </si>
  <si>
    <t>TRJ</t>
  </si>
  <si>
    <t>RIBEIRAO PIRES - SP</t>
  </si>
  <si>
    <t>RPS</t>
  </si>
  <si>
    <t>SAO MATEUS (SAO PAULO) - SP</t>
  </si>
  <si>
    <t>SMS</t>
  </si>
  <si>
    <t>SANTOS (PORTO) - SP</t>
  </si>
  <si>
    <t>SNP</t>
  </si>
  <si>
    <t>SAO PAULO (CONGONHAS) - SP</t>
  </si>
  <si>
    <t>CGH</t>
  </si>
  <si>
    <t>GUARULHOS (AEROPORTO) - SP</t>
  </si>
  <si>
    <t>GRU</t>
  </si>
  <si>
    <t>SANTOS (JOSE MENINO) - SP</t>
  </si>
  <si>
    <t>JMN</t>
  </si>
  <si>
    <t>ROD_SOLEMAR (SP)</t>
  </si>
  <si>
    <t>PGS</t>
  </si>
  <si>
    <t>ROD_AEROPORTO DE GUARULHOS (SP) [TERMINAL ADICIONAL]</t>
  </si>
  <si>
    <t>TAG</t>
  </si>
  <si>
    <t>ROD_CUBATÃO (SP) [ADICIONAL]</t>
  </si>
  <si>
    <t>CBO</t>
  </si>
  <si>
    <t>ROD_CUBATÃO (SP)</t>
  </si>
  <si>
    <t>CBT</t>
  </si>
  <si>
    <t>GR_PRAIA GRANDE (SP)</t>
  </si>
  <si>
    <t>GRPGD</t>
  </si>
  <si>
    <t>VOLTA REDONDA - RJ</t>
  </si>
  <si>
    <t>GT_VIAÇÃO SAMPAIO (RJ)</t>
  </si>
  <si>
    <t>GTSAM</t>
  </si>
  <si>
    <t>BARRA MANSA - RJ</t>
  </si>
  <si>
    <t>BMS</t>
  </si>
  <si>
    <t>PF_VOLTA REDONDA (SC)</t>
  </si>
  <si>
    <t>PFVRE</t>
  </si>
  <si>
    <t>PA_RESTAURANTE PARADOURO 10 (SC)</t>
  </si>
  <si>
    <t>PAP10</t>
  </si>
  <si>
    <t>PA_GRAAL BALEIA (SC)</t>
  </si>
  <si>
    <t>PABAL</t>
  </si>
  <si>
    <t>GT_ENSEADA (SC)</t>
  </si>
  <si>
    <t>GTENS</t>
  </si>
  <si>
    <t>GT_SÃO LEOPOLDO (RS)</t>
  </si>
  <si>
    <t>GTSLE</t>
  </si>
  <si>
    <t>PA_POSTO ZANDONA (SC)</t>
  </si>
  <si>
    <t>PAPZD</t>
  </si>
  <si>
    <t>PA_GRAAL GRANDE PARADA SUL (SC)</t>
  </si>
  <si>
    <t>PAGPS</t>
  </si>
  <si>
    <t>PA_PARADOURO 86 (RS)</t>
  </si>
  <si>
    <t>PAP86</t>
  </si>
  <si>
    <t>PA_GRAAL GRANDE PARADA NORTE (SC)</t>
  </si>
  <si>
    <t>PAGPN</t>
  </si>
  <si>
    <t>ROD_IMBITUBA (SC)</t>
  </si>
  <si>
    <t>GT_GUARAPUAVA (PR)</t>
  </si>
  <si>
    <t>GTGRP</t>
  </si>
  <si>
    <t>ROD_PERUÍBE (SP)</t>
  </si>
  <si>
    <t>PRB</t>
  </si>
  <si>
    <t>ROD_GASPAR (SC)</t>
  </si>
  <si>
    <t>GSP</t>
  </si>
  <si>
    <t>PF_CENTRO TIJUCAS (SC)</t>
  </si>
  <si>
    <t>PFCTJ</t>
  </si>
  <si>
    <t>PA_POSTO PINHEIRÃO (PR)</t>
  </si>
  <si>
    <t>PAPIN</t>
  </si>
  <si>
    <t>ROD_JOACABA (SC)</t>
  </si>
  <si>
    <t>JOA</t>
  </si>
  <si>
    <t>FB_CASTELO BRANCO - KM 32 (SP) [INTERIOR]</t>
  </si>
  <si>
    <t>FBJAI</t>
  </si>
  <si>
    <t>ROD_TIJUQUINHAS (SC)</t>
  </si>
  <si>
    <t>TIJ</t>
  </si>
  <si>
    <t>ROD_ARAÇARIGUAMA (SP)</t>
  </si>
  <si>
    <t>AGA</t>
  </si>
  <si>
    <t>ROD_ITANHAÉM (SP)</t>
  </si>
  <si>
    <t>ITH</t>
  </si>
  <si>
    <t>PA_GRAAL PALOMA (SP)</t>
  </si>
  <si>
    <t>PAPAL</t>
  </si>
  <si>
    <t>PA_GRAAL TIGRÃO (SP)</t>
  </si>
  <si>
    <t>PATIG</t>
  </si>
  <si>
    <t>FB_PRF PALMEIRA (SC)</t>
  </si>
  <si>
    <t>FBPAL</t>
  </si>
  <si>
    <t>FB_PRF SÃO JOSÉ DOS CAMPOS (SP) [KM 156]</t>
  </si>
  <si>
    <t>FBSJC</t>
  </si>
  <si>
    <t>ROD_POSTO PINHEIRÃO (PR)</t>
  </si>
  <si>
    <t>PIN</t>
  </si>
  <si>
    <t>PD_MIRACATU (SP) [AUTOPISTA RÉGIS BITTENCOURT]</t>
  </si>
  <si>
    <t>PDMIR</t>
  </si>
  <si>
    <t>ROD_TREVO COTIA (SP)</t>
  </si>
  <si>
    <t>PA_RESTAURANTE CHAPADÃO (SP)</t>
  </si>
  <si>
    <t>PACPD</t>
  </si>
  <si>
    <t>ROD_CIUDAD DEL ESTE (PY)</t>
  </si>
  <si>
    <t>CDL</t>
  </si>
  <si>
    <t>PA_GRAAL CLUBE DOS 500 (SP)</t>
  </si>
  <si>
    <t>PAGCQ</t>
  </si>
  <si>
    <t>PA_GRAAL TRÊS GARÇAS (SP)</t>
  </si>
  <si>
    <t>PATGA</t>
  </si>
  <si>
    <t>ROD_TERMINAL MENEZES CORTÊS [URBANO] (RJ)</t>
  </si>
  <si>
    <t>MNZ</t>
  </si>
  <si>
    <t>MARUÍ</t>
  </si>
  <si>
    <t>GT_TERRENO INTO (RJ) [EVANIL]</t>
  </si>
  <si>
    <t>GTINT</t>
  </si>
  <si>
    <t>PF_COMPERJ (RJ)</t>
  </si>
  <si>
    <t>PFCOM</t>
  </si>
  <si>
    <t>PETROBRAS GASLUB COMPERJ (RJO)</t>
  </si>
  <si>
    <t>ROD_PRAIA SECA (RJ)</t>
  </si>
  <si>
    <t>PSC</t>
  </si>
  <si>
    <t>GE_COMPERJ (RJ)</t>
  </si>
  <si>
    <t>GECOM</t>
  </si>
  <si>
    <t>PF_CENPES (RJ)</t>
  </si>
  <si>
    <t>PFCEN</t>
  </si>
  <si>
    <t>FB_BALANÇA TANGUÁ (RJ) [SUL]</t>
  </si>
  <si>
    <t>FBTAN</t>
  </si>
  <si>
    <t>ROD_CARAPEBUS (RJ)</t>
  </si>
  <si>
    <t>CRP</t>
  </si>
  <si>
    <t>PF_GOVERNADOR MÁRIO COVAS (RJ)</t>
  </si>
  <si>
    <t>PFGMC</t>
  </si>
  <si>
    <t>PA_RESTAURANTE CAIPIRA DA SERRA (RJ)</t>
  </si>
  <si>
    <t>PACDS</t>
  </si>
  <si>
    <t>PD_ITABORAÍ (RJ) [ROTA 116]</t>
  </si>
  <si>
    <t>PDITB</t>
  </si>
  <si>
    <t>PF_SILVA JARDIM (RJ)</t>
  </si>
  <si>
    <t>PFSVJ</t>
  </si>
  <si>
    <t>PF_PARQUE FUNDÃO (RJ)</t>
  </si>
  <si>
    <t>PFPFU</t>
  </si>
  <si>
    <t>PF_BALANÇA DE TANGUÁ (RJ)</t>
  </si>
  <si>
    <t>PFBLT</t>
  </si>
  <si>
    <t>PU_RIO BONITO (RJ) [URBANO]</t>
  </si>
  <si>
    <t>PURBN</t>
  </si>
  <si>
    <t>ARARUAMA - URB</t>
  </si>
  <si>
    <t>ARARUAMA</t>
  </si>
  <si>
    <t>PI_PONTE RIO NITERÓI (RJ)</t>
  </si>
  <si>
    <t>PINIT</t>
  </si>
  <si>
    <t>PU_ESTRADA DE PONTA NEGRA (RJ)</t>
  </si>
  <si>
    <t>PUEPN</t>
  </si>
  <si>
    <t>PI_SERRA DAS ARARAS (RJ) [DESCIDA]</t>
  </si>
  <si>
    <t>PISAD</t>
  </si>
  <si>
    <t>PF_TAMOIOS (RJ)</t>
  </si>
  <si>
    <t>PFTAM</t>
  </si>
  <si>
    <t>ROD_ITALVA (RJ)</t>
  </si>
  <si>
    <t>ITL</t>
  </si>
  <si>
    <t>FB_BALANÇA SAPUCAIA (RJ) [NORTE]</t>
  </si>
  <si>
    <t>FBSAP</t>
  </si>
  <si>
    <t>PT_URURAI [CAMPOS DOS GOYTACAZES] (RJ)</t>
  </si>
  <si>
    <t>PTURU</t>
  </si>
  <si>
    <t>PT_CENTRO [SAO PEDRO DA ALDEIA] (RJ)</t>
  </si>
  <si>
    <t>PTCNA</t>
  </si>
  <si>
    <t>ROD_MAGÉ (RJ)</t>
  </si>
  <si>
    <t>MAG</t>
  </si>
  <si>
    <t>ROD_AGÊNCIA ITAOCARA (RJ)</t>
  </si>
  <si>
    <t>ITO</t>
  </si>
  <si>
    <t>GT_PIABETÁ (RJ)</t>
  </si>
  <si>
    <t>GTPIA</t>
  </si>
  <si>
    <t>PF_BONSUCESSO (SP)</t>
  </si>
  <si>
    <t>PFBSC</t>
  </si>
  <si>
    <t>PF_CARREFOUR (RJ)</t>
  </si>
  <si>
    <t>PFBER</t>
  </si>
  <si>
    <t>GR_PORCIÚNCULA (RJ)</t>
  </si>
  <si>
    <t>GRPOR</t>
  </si>
  <si>
    <t>ROD_SAMPAIO CORREIA (RJ)</t>
  </si>
  <si>
    <t>SCR</t>
  </si>
  <si>
    <t>GR_QUISSAMÃ (RJ)</t>
  </si>
  <si>
    <t>GRQSS</t>
  </si>
  <si>
    <t>PT_VILA DO TINGUÁ [QUEIMADOS] (RJ)</t>
  </si>
  <si>
    <t>PTQUE</t>
  </si>
  <si>
    <t>PI_DUTRA E AVENIDA BRASIL (RJ)</t>
  </si>
  <si>
    <t>PIDAB</t>
  </si>
  <si>
    <t>PF_PENHA [RIO DE JANEIRO] (RJ)</t>
  </si>
  <si>
    <t>PFPRJ</t>
  </si>
  <si>
    <t>PT_JARDIM REAL [PORTO REAL] (RJ)</t>
  </si>
  <si>
    <t>PTJRE</t>
  </si>
  <si>
    <t>PT_PACIENCIA (RJ) [RIO DE JANEIRO]</t>
  </si>
  <si>
    <t>PTPAC</t>
  </si>
  <si>
    <t>PD_MOREIRA CESAR (SP) [CCR NOVA DUTRA]</t>
  </si>
  <si>
    <t>PDMOR</t>
  </si>
  <si>
    <t>FB_BALANÇA CAMPOS (RJ) [NORTE]</t>
  </si>
  <si>
    <t>FBCPS</t>
  </si>
  <si>
    <t>PD_PONTE RIO NITERÓI [ECOPONTE] (RJ)</t>
  </si>
  <si>
    <t>PDNIT</t>
  </si>
  <si>
    <t>PV_CAR SURVEY (RJ)</t>
  </si>
  <si>
    <t>PVCSY</t>
  </si>
  <si>
    <t>GT_RIO LAGOS (RJ)</t>
  </si>
  <si>
    <t>GTRLG</t>
  </si>
  <si>
    <t>PT_ACAMPAMENTO BARNABÉ [JUQUITIBA] (SP)</t>
  </si>
  <si>
    <t>PTACB</t>
  </si>
  <si>
    <t>PT_CENTRO [LONDRINA] (PR)</t>
  </si>
  <si>
    <t>Londrina</t>
  </si>
  <si>
    <t>Curitiba</t>
  </si>
  <si>
    <t>Sul</t>
  </si>
  <si>
    <t>ROD_GUARATUBA (PR)</t>
  </si>
  <si>
    <t>Blumenau</t>
  </si>
  <si>
    <t>RESTAURANTE PANORÂMICO (PR)</t>
  </si>
  <si>
    <t>Guarapuava</t>
  </si>
  <si>
    <t>BETO CARRERO WORLD (SC)</t>
  </si>
  <si>
    <t>SERRA DOURADA [REALEZA] (PR)</t>
  </si>
  <si>
    <t>GRAMADINHO [ITAPETININGA] (SP)</t>
  </si>
  <si>
    <t>São Paulo</t>
  </si>
  <si>
    <t>Foz do Iguaçu</t>
  </si>
  <si>
    <t>PT_CENTRO [ITANHAÉM] (SP)</t>
  </si>
  <si>
    <t>PRF CAMPINA GRANDE DO SUL (PR) [KM 56]</t>
  </si>
  <si>
    <t>RESTAURANTE MONTE CARLO II (PR)</t>
  </si>
  <si>
    <t>Localidade</t>
  </si>
  <si>
    <t>AGUAS DA PRATA - M. DIVISORIO(SP)</t>
  </si>
  <si>
    <t>AGUAS DA PRATA(SP)</t>
  </si>
  <si>
    <t>ALCANTARA(RJ)</t>
  </si>
  <si>
    <t>APARECIDA(SP)</t>
  </si>
  <si>
    <t>ARARAQUARA(SP)</t>
  </si>
  <si>
    <t>ARARUAMA(RJ)</t>
  </si>
  <si>
    <t>ARRAIAL DO CABO(RJ)</t>
  </si>
  <si>
    <t>BACAXA(RJ)</t>
  </si>
  <si>
    <t>BALNEARIO CAMBORIU(SC)</t>
  </si>
  <si>
    <t>BARRA DE SAO JOAO(RJ)</t>
  </si>
  <si>
    <t>BELO HORIZONTE(MG)</t>
  </si>
  <si>
    <t>BLUMENAU(SC)</t>
  </si>
  <si>
    <t>BOA SORTE(RJ)</t>
  </si>
  <si>
    <t>BST</t>
  </si>
  <si>
    <t>BOM JARDIM(RJ)</t>
  </si>
  <si>
    <t>BUZIOS(RJ)</t>
  </si>
  <si>
    <t>CABO FRIO(RJ)</t>
  </si>
  <si>
    <t>CACHOEIRAS DE MACACU(RJ)</t>
  </si>
  <si>
    <t>CAMBUCI(RJ)</t>
  </si>
  <si>
    <t>CAMPINAS(SP)</t>
  </si>
  <si>
    <t>CAMPO GRANDE - RIO(RJ)</t>
  </si>
  <si>
    <t>CAMPOS - S. EST(RJ)</t>
  </si>
  <si>
    <t>CAMPOS-R.SIL(RJ)</t>
  </si>
  <si>
    <t>CARANGOLA(MG)</t>
  </si>
  <si>
    <t>CASCAVEL(PR)</t>
  </si>
  <si>
    <t>CATANDUVA(SP)</t>
  </si>
  <si>
    <t>CAXAMBU(MG)</t>
  </si>
  <si>
    <t>CORDEIRO(RJ)</t>
  </si>
  <si>
    <t>CRICIUMA(SC)</t>
  </si>
  <si>
    <t>CRUZILIA(MG)</t>
  </si>
  <si>
    <t>CURITIBA(PR)</t>
  </si>
  <si>
    <t>DIAMANTE DOESTE(PR)</t>
  </si>
  <si>
    <t>DIA</t>
  </si>
  <si>
    <t>DUQUE DE CAXIAS(RJ)</t>
  </si>
  <si>
    <t>ENSEADA(SC)</t>
  </si>
  <si>
    <t>FIGUEIRA(RJ)</t>
  </si>
  <si>
    <t>FIG</t>
  </si>
  <si>
    <t>FLORIANOPOLIS(SC)</t>
  </si>
  <si>
    <t>FOZ DO IGUACU(PR)</t>
  </si>
  <si>
    <t>FRANCA(SP)</t>
  </si>
  <si>
    <t>GASPAR(SC)</t>
  </si>
  <si>
    <t>GARUVA(SC)</t>
  </si>
  <si>
    <t>GUARAPUAVA(PR)</t>
  </si>
  <si>
    <t>GUARUJA(SP)</t>
  </si>
  <si>
    <t>GUARULHOS - AEROP. CUMBICA(SP)</t>
  </si>
  <si>
    <t>GUARULHOS - RODOVIARIA(SP)</t>
  </si>
  <si>
    <t>IMBITUBA(SC)</t>
  </si>
  <si>
    <t>IRATI(PR)</t>
  </si>
  <si>
    <t>IRT</t>
  </si>
  <si>
    <t>ITAJAI(SC)</t>
  </si>
  <si>
    <t>ITAJUBA(MG)</t>
  </si>
  <si>
    <t>ITANHANDU(MG)</t>
  </si>
  <si>
    <t>ITD</t>
  </si>
  <si>
    <t>ITAPERUNA(RJ)</t>
  </si>
  <si>
    <t>ITAPETININGA(SP)</t>
  </si>
  <si>
    <t>ITATIAIA(RJ)</t>
  </si>
  <si>
    <t>ITT</t>
  </si>
  <si>
    <t>JARAGUA DO SUL(SC)</t>
  </si>
  <si>
    <t>JOINVILLE(SC)</t>
  </si>
  <si>
    <t>JUIZ DE FORA(MG)</t>
  </si>
  <si>
    <t>JUNDIAI(SP)</t>
  </si>
  <si>
    <t>LIMEIRA(SP)</t>
  </si>
  <si>
    <t>LMR</t>
  </si>
  <si>
    <t>LORENA(SP)</t>
  </si>
  <si>
    <t>MACAE(RJ)</t>
  </si>
  <si>
    <t>MACUCO(RJ)</t>
  </si>
  <si>
    <t>MAFRA(SC)</t>
  </si>
  <si>
    <t>MDF</t>
  </si>
  <si>
    <t>MANILHA(RJ)</t>
  </si>
  <si>
    <t>MARINGA(PR)</t>
  </si>
  <si>
    <t>MEDIANEIRA(PR)</t>
  </si>
  <si>
    <t>MOGI DAS CRUZES(SP)</t>
  </si>
  <si>
    <t>MOGI GUACU(SP)</t>
  </si>
  <si>
    <t>MOGI MIRIM(SP)</t>
  </si>
  <si>
    <t>MMI</t>
  </si>
  <si>
    <t>NITEROI(RJ)</t>
  </si>
  <si>
    <t>NOVA FRIBURGO - R. NORTE(RJ)</t>
  </si>
  <si>
    <t>NOVA FRIBURGO - R.SUL(RJ)</t>
  </si>
  <si>
    <t>NOVA IGUACU(RJ)</t>
  </si>
  <si>
    <t>OSASCO(SP)</t>
  </si>
  <si>
    <t>PERUIBE(SP)</t>
  </si>
  <si>
    <t>PICARRAS(SC)</t>
  </si>
  <si>
    <t>PIRAPETINGA(MG)</t>
  </si>
  <si>
    <t>PIR</t>
  </si>
  <si>
    <t>POCOS DE CALDAS(MG)</t>
  </si>
  <si>
    <t>PONTA GROSSA(PR)</t>
  </si>
  <si>
    <t>PRAIA GRANDE - TUDE BASTOS(SP)</t>
  </si>
  <si>
    <t>PRAIA GRANDE(SP)</t>
  </si>
  <si>
    <t>PRG</t>
  </si>
  <si>
    <t>PRAIA SECA(RJ)</t>
  </si>
  <si>
    <t>RESENDE(RJ)</t>
  </si>
  <si>
    <t>RIBEIRAO PIRES(SP)</t>
  </si>
  <si>
    <t>RIBEIRAO PRETO(SP)</t>
  </si>
  <si>
    <t>RIO DAS OSTRAS(RJ)</t>
  </si>
  <si>
    <t>RIO DE JANEIRO(RJ)</t>
  </si>
  <si>
    <t>RIO DO SUL(SC)</t>
  </si>
  <si>
    <t>SANTO ANDRE(SP)</t>
  </si>
  <si>
    <t>SANTO ANTONIO PADUA(RJ)</t>
  </si>
  <si>
    <t>SAP</t>
  </si>
  <si>
    <t>SANTOS - PORTO(SP)</t>
  </si>
  <si>
    <t>SANTOS(SP)</t>
  </si>
  <si>
    <t>SAO BERNARDO DO CAMPO(SP)</t>
  </si>
  <si>
    <t>SAO CAETANO DO SUL(SP)</t>
  </si>
  <si>
    <t>SAO CARLOS(SP)</t>
  </si>
  <si>
    <t>SAO FRANC. ITABAPOANA(RJ)</t>
  </si>
  <si>
    <t>SFI</t>
  </si>
  <si>
    <t>SAO FRANCISCO DO SUL(SC)</t>
  </si>
  <si>
    <t>SFS</t>
  </si>
  <si>
    <t>SAO JOAO DA BOA VISTA(SP)</t>
  </si>
  <si>
    <t>SBV</t>
  </si>
  <si>
    <t>SAO JOSE DO RIO PRETO(SP)</t>
  </si>
  <si>
    <t>SAO JOSE DOS CAMPOS(SP)</t>
  </si>
  <si>
    <t>SAO LOURECO(MG)</t>
  </si>
  <si>
    <t>SAO MATEUS - SAO PAULO(SP)</t>
  </si>
  <si>
    <t>SAO PAULO - ROD. BARRA FUNDA(SP)</t>
  </si>
  <si>
    <t>SAO PAULO - ROD. JABAQUARA(SP)</t>
  </si>
  <si>
    <t>SAO PAULO ROD TIETE(SP)</t>
  </si>
  <si>
    <t>SAO PEDRO DA ALDEIA(RJ)</t>
  </si>
  <si>
    <t>SAO ROQUE(SP)</t>
  </si>
  <si>
    <t>SAO VICENTE(SP)</t>
  </si>
  <si>
    <t>SAQUAREMA(RJ)</t>
  </si>
  <si>
    <t>ASQ</t>
  </si>
  <si>
    <t>SOROCABA(SP)</t>
  </si>
  <si>
    <t>SUZANO(SP)</t>
  </si>
  <si>
    <t>SZO</t>
  </si>
  <si>
    <t>TATUI(SP)</t>
  </si>
  <si>
    <t>TAUBATE(SP)</t>
  </si>
  <si>
    <t>TIJUCAS(SC)</t>
  </si>
  <si>
    <t>TUBARAO(SC)</t>
  </si>
  <si>
    <t>UNAMAR(RJ)</t>
  </si>
  <si>
    <t>VOLTA REDONDA(RJ)</t>
  </si>
  <si>
    <t>ARACARIGUAMA(SP)</t>
  </si>
  <si>
    <t>CANTAGALO(RJ)</t>
  </si>
  <si>
    <t>GOVERNADOR VALADARES(MG)</t>
  </si>
  <si>
    <t>IGUABA(RJ)</t>
  </si>
  <si>
    <t>LUMIAR - SHOW(RJ)</t>
  </si>
  <si>
    <t>LUM</t>
  </si>
  <si>
    <t>MONERAT(RJ)</t>
  </si>
  <si>
    <t>MONGAGUA(SP)</t>
  </si>
  <si>
    <t>NITEROI - TERM. BARCAS(RJ)</t>
  </si>
  <si>
    <t>SAO PAULO - AEROP. CONGONHAS(SP)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</si>
</sst>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2065187536243"/>
        <bgColor theme="4" tint="0.79992065187536243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rgb="FFFFC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29"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8"/>
        <name val="Calibri"/>
        <family val="2"/>
        <scheme val="none"/>
      </font>
    </dxf>
    <dxf>
      <font>
        <strike val="0"/>
        <u val="none"/>
        <sz val="11"/>
        <name val="Calibri"/>
        <scheme val="none"/>
      </font>
      <numFmt numFmtId="0" formatCode="General"/>
      <alignment horizontal="center"/>
    </dxf>
    <dxf>
      <font>
        <strike val="0"/>
        <u val="none"/>
        <sz val="11"/>
        <name val="Calibri"/>
        <scheme val="none"/>
      </font>
      <numFmt numFmtId="0" formatCode="General"/>
      <alignment horizontal="center"/>
    </dxf>
    <dxf>
      <font>
        <strike val="0"/>
        <u val="none"/>
        <sz val="11"/>
        <name val="Calibri"/>
        <scheme val="none"/>
      </font>
      <numFmt numFmtId="0" formatCode="General"/>
      <alignment horizontal="center"/>
    </dxf>
    <dxf>
      <font>
        <strike val="0"/>
        <u val="none"/>
        <sz val="11"/>
        <name val="Calibri"/>
        <scheme val="none"/>
      </font>
      <alignment horizontal="center"/>
    </dxf>
    <dxf>
      <font>
        <strike val="0"/>
        <u val="none"/>
        <sz val="11"/>
        <name val="Calibri"/>
        <scheme val="none"/>
      </font>
      <alignment horizontal="center" vertical="center"/>
    </dxf>
    <dxf>
      <font>
        <strike val="0"/>
        <u val="none"/>
        <sz val="11"/>
        <name val="Calibri"/>
        <scheme val="none"/>
      </font>
      <alignment horizontal="center"/>
    </dxf>
    <dxf>
      <alignment horizontal="left"/>
    </dxf>
    <dxf>
      <numFmt numFmtId="0" formatCode="General"/>
      <alignment horizontal="left"/>
    </dxf>
    <dxf>
      <numFmt numFmtId="30" formatCode="@"/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1" defaultTableStyle="TableStyleMedium2" defaultPivotStyle="PivotStyleLight16">
    <tableStyle name="Invisible" pivot="0" table="0" count="0" xr9:uid="{BB3B9858-8BC5-4E83-942A-495468EA98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dro.linhares\Downloads\dBase%20Nucleos_S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cleos"/>
      <sheetName val="Rodoviária"/>
      <sheetName val="d_AUX"/>
      <sheetName val="Planilha1"/>
      <sheetName val="d_Aux_SalesForce"/>
      <sheetName val="dBase Nucleos_S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etorNucleo" displayName="SetorNucleo" ref="A1:J199" totalsRowShown="0">
  <autoFilter ref="A1:J199" xr:uid="{00000000-000C-0000-FFFF-FFFF00000000}"/>
  <tableColumns count="10">
    <tableColumn id="3" xr3:uid="{00000000-0010-0000-0000-000003000000}" name="Empresa" dataDxfId="28"/>
    <tableColumn id="2" xr3:uid="{00000000-0010-0000-0000-000002000000}" name="Setor" dataDxfId="27"/>
    <tableColumn id="4" xr3:uid="{00000000-0010-0000-0000-000004000000}" name="Serviço" dataDxfId="26"/>
    <tableColumn id="5" xr3:uid="{00000000-0010-0000-0000-000005000000}" name="Nome Setor" dataDxfId="25"/>
    <tableColumn id="8" xr3:uid="{00000000-0010-0000-0000-000008000000}" name="Nome Contrato" dataDxfId="24"/>
    <tableColumn id="7" xr3:uid="{00000000-0010-0000-0000-000007000000}" name="Nucleo" dataDxfId="23"/>
    <tableColumn id="6" xr3:uid="{00000000-0010-0000-0000-000006000000}" name="Regional" dataDxfId="22"/>
    <tableColumn id="9" xr3:uid="{00000000-0010-0000-0000-000009000000}" name="CodEmpresa" dataDxfId="21"/>
    <tableColumn id="1" xr3:uid="{00000000-0010-0000-0000-000001000000}" name="Chave" dataDxfId="20">
      <calculatedColumnFormula>SetorNucleo[[#This Row],[Empresa]]&amp;SetorNucleo[[#This Row],[Setor]]</calculatedColumnFormula>
    </tableColumn>
    <tableColumn id="10" xr3:uid="{00000000-0010-0000-0000-00000A000000}" name="EmpresaOPTZ" dataDxfId="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55" displayName="Tabela55" ref="A1:F477" totalsRowShown="0">
  <autoFilter ref="A1:F477" xr:uid="{00000000-000C-0000-FFFF-FFFF01000000}"/>
  <tableColumns count="6">
    <tableColumn id="1" xr3:uid="{00000000-0010-0000-0100-000001000000}" name="Localidades" dataDxfId="18"/>
    <tableColumn id="2" xr3:uid="{00000000-0010-0000-0100-000002000000}" name="Sigla" dataDxfId="17"/>
    <tableColumn id="3" xr3:uid="{00000000-0010-0000-0100-000003000000}" name="Setor" dataDxfId="16"/>
    <tableColumn id="5" xr3:uid="{00000000-0010-0000-0100-000005000000}" name="Abrev" dataDxfId="15"/>
    <tableColumn id="6" xr3:uid="{00000000-0010-0000-0100-000006000000}" name="Núcleo" dataDxfId="14">
      <calculatedColumnFormula>IFERROR(VLOOKUP(Tabela55[[#This Row],[Abrev]],Nucleos!$B$2:$G$199,5,0),"Verificar com o setor")</calculatedColumnFormula>
    </tableColumn>
    <tableColumn id="7" xr3:uid="{00000000-0010-0000-0100-000007000000}" name="Regional" dataDxfId="13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1:B125" totalsRowShown="0">
  <autoFilter ref="A1:B125" xr:uid="{00000000-0009-0000-0100-000003000000}"/>
  <tableColumns count="2">
    <tableColumn id="1" xr3:uid="{00000000-0010-0000-0200-000001000000}" name="Localidade" dataDxfId="12"/>
    <tableColumn id="2" xr3:uid="{00000000-0010-0000-0200-000002000000}" name="Sig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"/>
  <sheetViews>
    <sheetView tabSelected="1" workbookViewId="0">
      <pane ySplit="1" topLeftCell="A26" activePane="bottomLeft" state="frozen"/>
      <selection pane="bottomLeft" activeCell="F200" sqref="F200"/>
    </sheetView>
  </sheetViews>
  <sheetFormatPr defaultColWidth="9" defaultRowHeight="14.5"/>
  <cols>
    <col min="1" max="1" width="18.54296875" style="21" customWidth="1"/>
    <col min="2" max="2" width="10.6328125" style="21" customWidth="1"/>
    <col min="3" max="3" width="13.6328125" customWidth="1"/>
    <col min="4" max="4" width="37.90625" style="21" customWidth="1"/>
    <col min="5" max="5" width="47.453125" style="21" customWidth="1"/>
    <col min="6" max="6" width="15.81640625" customWidth="1"/>
    <col min="7" max="7" width="10.6328125" style="21" customWidth="1"/>
    <col min="8" max="8" width="13.90625" style="21" customWidth="1"/>
    <col min="9" max="9" width="28.54296875" customWidth="1"/>
    <col min="10" max="10" width="15.08984375" style="21" customWidth="1"/>
  </cols>
  <sheetData>
    <row r="1" spans="1:10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1" t="s">
        <v>8</v>
      </c>
      <c r="J1" s="21" t="s">
        <v>9</v>
      </c>
    </row>
    <row r="2" spans="1:10">
      <c r="A2" s="21" t="s">
        <v>10</v>
      </c>
      <c r="B2" s="21" t="s">
        <v>11</v>
      </c>
      <c r="C2" s="21" t="s">
        <v>12</v>
      </c>
      <c r="D2" s="21" t="s">
        <v>13</v>
      </c>
      <c r="E2" s="21" t="s">
        <v>14</v>
      </c>
      <c r="F2" s="21" t="s">
        <v>15</v>
      </c>
      <c r="G2" s="21" t="s">
        <v>16</v>
      </c>
      <c r="H2" s="23" t="s">
        <v>17</v>
      </c>
      <c r="I2" s="21" t="str">
        <f>SetorNucleo[[#This Row],[Empresa]]&amp;SetorNucleo[[#This Row],[Setor]]</f>
        <v>OPÇAOCBA</v>
      </c>
      <c r="J2" s="21" t="s">
        <v>18</v>
      </c>
    </row>
    <row r="3" spans="1:10">
      <c r="A3" s="21" t="s">
        <v>10</v>
      </c>
      <c r="B3" s="21" t="s">
        <v>19</v>
      </c>
      <c r="C3" s="21" t="s">
        <v>12</v>
      </c>
      <c r="D3" s="21" t="s">
        <v>20</v>
      </c>
      <c r="E3" s="21" t="s">
        <v>21</v>
      </c>
      <c r="F3" s="21" t="s">
        <v>22</v>
      </c>
      <c r="G3" s="21" t="s">
        <v>16</v>
      </c>
      <c r="H3" s="23" t="s">
        <v>17</v>
      </c>
      <c r="I3" s="21" t="str">
        <f>SetorNucleo[[#This Row],[Empresa]]&amp;SetorNucleo[[#This Row],[Setor]]</f>
        <v>OPÇAOCVV</v>
      </c>
      <c r="J3" s="21" t="s">
        <v>18</v>
      </c>
    </row>
    <row r="4" spans="1:10">
      <c r="A4" s="21" t="s">
        <v>23</v>
      </c>
      <c r="B4" s="21" t="s">
        <v>24</v>
      </c>
      <c r="C4" s="21" t="s">
        <v>25</v>
      </c>
      <c r="D4" s="21" t="s">
        <v>26</v>
      </c>
      <c r="F4" s="21" t="s">
        <v>27</v>
      </c>
      <c r="G4" s="21" t="s">
        <v>16</v>
      </c>
      <c r="H4" s="23" t="s">
        <v>28</v>
      </c>
      <c r="I4" s="21" t="str">
        <f>SetorNucleo[[#This Row],[Empresa]]&amp;SetorNucleo[[#This Row],[Setor]]</f>
        <v>COMETAAQA</v>
      </c>
      <c r="J4" s="21" t="s">
        <v>29</v>
      </c>
    </row>
    <row r="5" spans="1:10">
      <c r="A5" s="21" t="s">
        <v>30</v>
      </c>
      <c r="B5" s="21" t="s">
        <v>31</v>
      </c>
      <c r="C5" s="21" t="s">
        <v>32</v>
      </c>
      <c r="D5" s="21" t="s">
        <v>33</v>
      </c>
      <c r="F5" s="21" t="s">
        <v>34</v>
      </c>
      <c r="G5" s="21" t="s">
        <v>35</v>
      </c>
      <c r="H5" s="23" t="s">
        <v>30</v>
      </c>
      <c r="I5" s="21" t="str">
        <f>SetorNucleo[[#This Row],[Empresa]]&amp;SetorNucleo[[#This Row],[Setor]]</f>
        <v>AV1001 URBARA</v>
      </c>
      <c r="J5" s="21" t="s">
        <v>36</v>
      </c>
    </row>
    <row r="6" spans="1:10">
      <c r="A6" s="21" t="s">
        <v>23</v>
      </c>
      <c r="B6" s="21" t="s">
        <v>37</v>
      </c>
      <c r="C6" s="21" t="s">
        <v>12</v>
      </c>
      <c r="D6" s="21" t="s">
        <v>38</v>
      </c>
      <c r="E6" s="21" t="s">
        <v>39</v>
      </c>
      <c r="F6" s="21" t="s">
        <v>40</v>
      </c>
      <c r="G6" s="21" t="s">
        <v>16</v>
      </c>
      <c r="H6" s="23" t="s">
        <v>28</v>
      </c>
      <c r="I6" s="21" t="str">
        <f>SetorNucleo[[#This Row],[Empresa]]&amp;SetorNucleo[[#This Row],[Setor]]</f>
        <v>COMETAJDG</v>
      </c>
      <c r="J6" s="21" t="s">
        <v>29</v>
      </c>
    </row>
    <row r="7" spans="1:10">
      <c r="A7" s="21" t="s">
        <v>23</v>
      </c>
      <c r="B7" s="21" t="s">
        <v>41</v>
      </c>
      <c r="C7" s="21" t="s">
        <v>42</v>
      </c>
      <c r="D7" s="21" t="s">
        <v>22</v>
      </c>
      <c r="F7" s="21" t="s">
        <v>22</v>
      </c>
      <c r="G7" s="21" t="s">
        <v>16</v>
      </c>
      <c r="H7" s="23" t="s">
        <v>43</v>
      </c>
      <c r="I7" s="21" t="str">
        <f>SetorNucleo[[#This Row],[Empresa]]&amp;SetorNucleo[[#This Row],[Setor]]</f>
        <v>COMETABHI</v>
      </c>
      <c r="J7" s="21" t="s">
        <v>29</v>
      </c>
    </row>
    <row r="8" spans="1:10">
      <c r="A8" s="21" t="s">
        <v>23</v>
      </c>
      <c r="B8" s="21" t="s">
        <v>44</v>
      </c>
      <c r="C8" s="21" t="s">
        <v>25</v>
      </c>
      <c r="D8" s="21" t="s">
        <v>22</v>
      </c>
      <c r="F8" s="21" t="s">
        <v>22</v>
      </c>
      <c r="G8" s="21" t="s">
        <v>16</v>
      </c>
      <c r="H8" s="23" t="s">
        <v>28</v>
      </c>
      <c r="I8" s="21" t="str">
        <f>SetorNucleo[[#This Row],[Empresa]]&amp;SetorNucleo[[#This Row],[Setor]]</f>
        <v>COMETABHW</v>
      </c>
      <c r="J8" s="21" t="s">
        <v>29</v>
      </c>
    </row>
    <row r="9" spans="1:10">
      <c r="A9" s="21" t="s">
        <v>23</v>
      </c>
      <c r="B9" s="21" t="s">
        <v>45</v>
      </c>
      <c r="C9" s="21" t="s">
        <v>25</v>
      </c>
      <c r="D9" s="21" t="s">
        <v>22</v>
      </c>
      <c r="F9" s="21" t="s">
        <v>22</v>
      </c>
      <c r="G9" s="21" t="s">
        <v>16</v>
      </c>
      <c r="H9" s="23" t="s">
        <v>28</v>
      </c>
      <c r="I9" s="21" t="str">
        <f>SetorNucleo[[#This Row],[Empresa]]&amp;SetorNucleo[[#This Row],[Setor]]</f>
        <v>COMETABHZ</v>
      </c>
      <c r="J9" s="21" t="s">
        <v>29</v>
      </c>
    </row>
    <row r="10" spans="1:10">
      <c r="A10" s="21" t="s">
        <v>23</v>
      </c>
      <c r="B10" s="21" t="s">
        <v>46</v>
      </c>
      <c r="C10" s="21" t="s">
        <v>12</v>
      </c>
      <c r="D10" s="21" t="s">
        <v>47</v>
      </c>
      <c r="E10" s="21" t="s">
        <v>48</v>
      </c>
      <c r="F10" s="21" t="s">
        <v>49</v>
      </c>
      <c r="G10" s="21" t="s">
        <v>16</v>
      </c>
      <c r="H10" s="23" t="s">
        <v>28</v>
      </c>
      <c r="I10" s="21" t="str">
        <f>SetorNucleo[[#This Row],[Empresa]]&amp;SetorNucleo[[#This Row],[Setor]]</f>
        <v>COMETAPEG</v>
      </c>
      <c r="J10" s="21" t="s">
        <v>29</v>
      </c>
    </row>
    <row r="11" spans="1:10">
      <c r="A11" s="21" t="s">
        <v>50</v>
      </c>
      <c r="B11" s="21" t="s">
        <v>51</v>
      </c>
      <c r="C11" s="21" t="s">
        <v>42</v>
      </c>
      <c r="D11" s="21" t="s">
        <v>52</v>
      </c>
      <c r="F11" s="21" t="s">
        <v>52</v>
      </c>
      <c r="G11" s="21" t="s">
        <v>53</v>
      </c>
      <c r="H11" s="23" t="s">
        <v>54</v>
      </c>
      <c r="I11" s="21" t="str">
        <f>SetorNucleo[[#This Row],[Empresa]]&amp;SetorNucleo[[#This Row],[Setor]]</f>
        <v>CATARINENSEBNI</v>
      </c>
      <c r="J11" s="21" t="s">
        <v>55</v>
      </c>
    </row>
    <row r="12" spans="1:10">
      <c r="A12" s="21" t="s">
        <v>50</v>
      </c>
      <c r="B12" s="21" t="s">
        <v>56</v>
      </c>
      <c r="C12" s="21" t="s">
        <v>25</v>
      </c>
      <c r="D12" s="21" t="s">
        <v>52</v>
      </c>
      <c r="F12" s="21" t="s">
        <v>52</v>
      </c>
      <c r="G12" s="21" t="s">
        <v>53</v>
      </c>
      <c r="H12" s="23" t="s">
        <v>57</v>
      </c>
      <c r="I12" s="21" t="str">
        <f>SetorNucleo[[#This Row],[Empresa]]&amp;SetorNucleo[[#This Row],[Setor]]</f>
        <v>CATARINENSEBNU</v>
      </c>
      <c r="J12" s="21" t="s">
        <v>55</v>
      </c>
    </row>
    <row r="13" spans="1:10">
      <c r="A13" s="21" t="s">
        <v>50</v>
      </c>
      <c r="B13" s="21" t="s">
        <v>58</v>
      </c>
      <c r="C13" s="21" t="s">
        <v>25</v>
      </c>
      <c r="D13" s="21" t="s">
        <v>59</v>
      </c>
      <c r="F13" s="21" t="s">
        <v>52</v>
      </c>
      <c r="G13" s="21" t="s">
        <v>53</v>
      </c>
      <c r="H13" s="23" t="s">
        <v>57</v>
      </c>
      <c r="I13" s="21" t="str">
        <f>SetorNucleo[[#This Row],[Empresa]]&amp;SetorNucleo[[#This Row],[Setor]]</f>
        <v>CATARINENSEBRQ</v>
      </c>
      <c r="J13" s="21" t="s">
        <v>55</v>
      </c>
    </row>
    <row r="14" spans="1:10">
      <c r="A14" s="21" t="s">
        <v>23</v>
      </c>
      <c r="B14" s="21" t="s">
        <v>60</v>
      </c>
      <c r="C14" s="21" t="s">
        <v>12</v>
      </c>
      <c r="D14" s="21" t="s">
        <v>61</v>
      </c>
      <c r="E14" s="21" t="s">
        <v>62</v>
      </c>
      <c r="F14" s="21" t="s">
        <v>49</v>
      </c>
      <c r="G14" s="21" t="s">
        <v>16</v>
      </c>
      <c r="H14" s="23" t="s">
        <v>28</v>
      </c>
      <c r="I14" s="21" t="str">
        <f>SetorNucleo[[#This Row],[Empresa]]&amp;SetorNucleo[[#This Row],[Setor]]</f>
        <v>COMETAPEI</v>
      </c>
      <c r="J14" s="21" t="s">
        <v>29</v>
      </c>
    </row>
    <row r="15" spans="1:10">
      <c r="A15" s="21" t="s">
        <v>63</v>
      </c>
      <c r="B15" s="21" t="s">
        <v>64</v>
      </c>
      <c r="C15" s="21" t="s">
        <v>25</v>
      </c>
      <c r="D15" s="21" t="s">
        <v>65</v>
      </c>
      <c r="F15" s="21" t="s">
        <v>65</v>
      </c>
      <c r="G15" s="21" t="s">
        <v>35</v>
      </c>
      <c r="H15" s="23" t="s">
        <v>66</v>
      </c>
      <c r="I15" s="21" t="str">
        <f>SetorNucleo[[#This Row],[Empresa]]&amp;SetorNucleo[[#This Row],[Setor]]</f>
        <v>AV1001CBF</v>
      </c>
      <c r="J15" s="21">
        <v>1001</v>
      </c>
    </row>
    <row r="16" spans="1:10">
      <c r="A16" s="21" t="s">
        <v>63</v>
      </c>
      <c r="B16" s="21" t="s">
        <v>67</v>
      </c>
      <c r="C16" s="21" t="s">
        <v>42</v>
      </c>
      <c r="D16" s="21" t="s">
        <v>65</v>
      </c>
      <c r="F16" s="21" t="s">
        <v>65</v>
      </c>
      <c r="G16" s="21" t="s">
        <v>35</v>
      </c>
      <c r="H16" s="23" t="s">
        <v>68</v>
      </c>
      <c r="I16" s="21" t="str">
        <f>SetorNucleo[[#This Row],[Empresa]]&amp;SetorNucleo[[#This Row],[Setor]]</f>
        <v>AV1001CBI</v>
      </c>
      <c r="J16" s="21">
        <v>1001</v>
      </c>
    </row>
    <row r="17" spans="1:10">
      <c r="A17" s="24" t="s">
        <v>50</v>
      </c>
      <c r="B17" s="24" t="s">
        <v>69</v>
      </c>
      <c r="C17" s="21" t="s">
        <v>25</v>
      </c>
      <c r="D17" s="21" t="s">
        <v>70</v>
      </c>
      <c r="F17" s="21" t="s">
        <v>71</v>
      </c>
      <c r="G17" s="21" t="s">
        <v>53</v>
      </c>
      <c r="H17" s="23" t="s">
        <v>57</v>
      </c>
      <c r="I17" s="21" t="str">
        <f>SetorNucleo[[#This Row],[Empresa]]&amp;SetorNucleo[[#This Row],[Setor]]</f>
        <v>CATARINENSECCD</v>
      </c>
      <c r="J17" s="21" t="s">
        <v>55</v>
      </c>
    </row>
    <row r="18" spans="1:10">
      <c r="A18" s="21" t="s">
        <v>23</v>
      </c>
      <c r="B18" s="21" t="s">
        <v>72</v>
      </c>
      <c r="C18" s="21" t="s">
        <v>12</v>
      </c>
      <c r="D18" s="21" t="s">
        <v>73</v>
      </c>
      <c r="E18" s="21" t="s">
        <v>74</v>
      </c>
      <c r="F18" s="21" t="s">
        <v>15</v>
      </c>
      <c r="G18" s="21" t="s">
        <v>16</v>
      </c>
      <c r="H18" s="23" t="s">
        <v>28</v>
      </c>
      <c r="I18" s="21" t="str">
        <f>SetorNucleo[[#This Row],[Empresa]]&amp;SetorNucleo[[#This Row],[Setor]]</f>
        <v>COMETASCF</v>
      </c>
      <c r="J18" s="21" t="s">
        <v>29</v>
      </c>
    </row>
    <row r="19" spans="1:10">
      <c r="A19" s="21" t="s">
        <v>10</v>
      </c>
      <c r="B19" s="21" t="s">
        <v>75</v>
      </c>
      <c r="C19" s="21" t="s">
        <v>12</v>
      </c>
      <c r="D19" s="21" t="s">
        <v>76</v>
      </c>
      <c r="F19" s="21" t="s">
        <v>15</v>
      </c>
      <c r="G19" s="21" t="s">
        <v>16</v>
      </c>
      <c r="H19" s="23" t="s">
        <v>17</v>
      </c>
      <c r="I19" s="21" t="str">
        <f>SetorNucleo[[#This Row],[Empresa]]&amp;SetorNucleo[[#This Row],[Setor]]</f>
        <v>OPÇAOSCG</v>
      </c>
      <c r="J19" s="21" t="s">
        <v>18</v>
      </c>
    </row>
    <row r="20" spans="1:10">
      <c r="A20" s="21" t="s">
        <v>10</v>
      </c>
      <c r="B20" s="21" t="s">
        <v>77</v>
      </c>
      <c r="C20" s="21" t="s">
        <v>12</v>
      </c>
      <c r="D20" s="21" t="s">
        <v>78</v>
      </c>
      <c r="E20" s="21" t="s">
        <v>79</v>
      </c>
      <c r="F20" s="21" t="s">
        <v>15</v>
      </c>
      <c r="G20" s="21" t="s">
        <v>16</v>
      </c>
      <c r="H20" s="23" t="s">
        <v>17</v>
      </c>
      <c r="I20" s="21" t="str">
        <f>SetorNucleo[[#This Row],[Empresa]]&amp;SetorNucleo[[#This Row],[Setor]]</f>
        <v>OPÇAOSCB</v>
      </c>
      <c r="J20" s="21" t="s">
        <v>18</v>
      </c>
    </row>
    <row r="21" spans="1:10">
      <c r="A21" s="21" t="s">
        <v>10</v>
      </c>
      <c r="B21" s="21" t="s">
        <v>80</v>
      </c>
      <c r="C21" s="21" t="s">
        <v>12</v>
      </c>
      <c r="D21" s="21" t="s">
        <v>81</v>
      </c>
      <c r="E21" s="21" t="s">
        <v>82</v>
      </c>
      <c r="F21" s="21" t="s">
        <v>15</v>
      </c>
      <c r="G21" s="21" t="s">
        <v>16</v>
      </c>
      <c r="H21" s="23" t="s">
        <v>17</v>
      </c>
      <c r="I21" s="21" t="str">
        <f>SetorNucleo[[#This Row],[Empresa]]&amp;SetorNucleo[[#This Row],[Setor]]</f>
        <v>OPÇAOSCV</v>
      </c>
      <c r="J21" s="21" t="s">
        <v>18</v>
      </c>
    </row>
    <row r="22" spans="1:10">
      <c r="A22" s="21" t="s">
        <v>23</v>
      </c>
      <c r="B22" s="21" t="s">
        <v>83</v>
      </c>
      <c r="C22" s="21" t="s">
        <v>12</v>
      </c>
      <c r="D22" s="21" t="s">
        <v>84</v>
      </c>
      <c r="E22" s="21" t="s">
        <v>85</v>
      </c>
      <c r="F22" s="21" t="s">
        <v>49</v>
      </c>
      <c r="G22" s="21" t="s">
        <v>16</v>
      </c>
      <c r="H22" s="23" t="s">
        <v>28</v>
      </c>
      <c r="I22" s="21" t="str">
        <f>SetorNucleo[[#This Row],[Empresa]]&amp;SetorNucleo[[#This Row],[Setor]]</f>
        <v>COMETASPF</v>
      </c>
      <c r="J22" s="21" t="s">
        <v>29</v>
      </c>
    </row>
    <row r="23" spans="1:10">
      <c r="A23" s="21" t="s">
        <v>63</v>
      </c>
      <c r="B23" s="21" t="s">
        <v>86</v>
      </c>
      <c r="C23" s="21" t="s">
        <v>12</v>
      </c>
      <c r="D23" s="21" t="s">
        <v>87</v>
      </c>
      <c r="E23" s="21" t="s">
        <v>88</v>
      </c>
      <c r="F23" s="21" t="s">
        <v>89</v>
      </c>
      <c r="G23" s="21" t="s">
        <v>35</v>
      </c>
      <c r="H23" s="23" t="s">
        <v>66</v>
      </c>
      <c r="I23" s="21" t="str">
        <f>SetorNucleo[[#This Row],[Empresa]]&amp;SetorNucleo[[#This Row],[Setor]]</f>
        <v>AV1001AGR</v>
      </c>
      <c r="J23" s="21">
        <v>1001</v>
      </c>
    </row>
    <row r="24" spans="1:10">
      <c r="A24" s="21" t="s">
        <v>63</v>
      </c>
      <c r="B24" s="21" t="s">
        <v>90</v>
      </c>
      <c r="C24" s="21" t="s">
        <v>12</v>
      </c>
      <c r="D24" s="21" t="s">
        <v>91</v>
      </c>
      <c r="E24" s="21" t="s">
        <v>92</v>
      </c>
      <c r="F24" s="21" t="s">
        <v>93</v>
      </c>
      <c r="G24" s="21" t="s">
        <v>35</v>
      </c>
      <c r="H24" s="23" t="s">
        <v>66</v>
      </c>
      <c r="I24" s="21" t="str">
        <f>SetorNucleo[[#This Row],[Empresa]]&amp;SetorNucleo[[#This Row],[Setor]]</f>
        <v>AV1001AKR</v>
      </c>
      <c r="J24" s="21">
        <v>1001</v>
      </c>
    </row>
    <row r="25" spans="1:10">
      <c r="A25" s="24" t="s">
        <v>23</v>
      </c>
      <c r="B25" s="24" t="s">
        <v>94</v>
      </c>
      <c r="C25" s="21" t="s">
        <v>12</v>
      </c>
      <c r="D25" s="21" t="s">
        <v>95</v>
      </c>
      <c r="F25" s="21" t="s">
        <v>15</v>
      </c>
      <c r="G25" s="21" t="s">
        <v>16</v>
      </c>
      <c r="H25" s="23" t="s">
        <v>28</v>
      </c>
      <c r="I25" s="21" t="str">
        <f>SetorNucleo[[#This Row],[Empresa]]&amp;SetorNucleo[[#This Row],[Setor]]</f>
        <v>COMETAALM</v>
      </c>
      <c r="J25" s="21" t="s">
        <v>29</v>
      </c>
    </row>
    <row r="26" spans="1:10">
      <c r="A26" s="21" t="s">
        <v>50</v>
      </c>
      <c r="B26" s="21" t="s">
        <v>96</v>
      </c>
      <c r="C26" s="21" t="s">
        <v>12</v>
      </c>
      <c r="D26" s="21" t="s">
        <v>97</v>
      </c>
      <c r="E26" s="21" t="s">
        <v>98</v>
      </c>
      <c r="F26" s="21" t="s">
        <v>52</v>
      </c>
      <c r="G26" s="21" t="s">
        <v>53</v>
      </c>
      <c r="H26" s="23" t="s">
        <v>57</v>
      </c>
      <c r="I26" s="21" t="str">
        <f>SetorNucleo[[#This Row],[Empresa]]&amp;SetorNucleo[[#This Row],[Setor]]</f>
        <v>CATARINENSEANG</v>
      </c>
      <c r="J26" s="21" t="s">
        <v>55</v>
      </c>
    </row>
    <row r="27" spans="1:10">
      <c r="A27" s="21" t="s">
        <v>23</v>
      </c>
      <c r="B27" s="21" t="s">
        <v>99</v>
      </c>
      <c r="C27" s="21" t="s">
        <v>42</v>
      </c>
      <c r="D27" s="21" t="s">
        <v>100</v>
      </c>
      <c r="E27" s="21" t="s">
        <v>101</v>
      </c>
      <c r="F27" s="21" t="s">
        <v>102</v>
      </c>
      <c r="G27" s="21" t="s">
        <v>16</v>
      </c>
      <c r="H27" s="23" t="s">
        <v>43</v>
      </c>
      <c r="I27" s="21" t="str">
        <f>SetorNucleo[[#This Row],[Empresa]]&amp;SetorNucleo[[#This Row],[Setor]]</f>
        <v>COMETACPI</v>
      </c>
      <c r="J27" s="21" t="s">
        <v>29</v>
      </c>
    </row>
    <row r="28" spans="1:10">
      <c r="A28" s="21" t="s">
        <v>23</v>
      </c>
      <c r="B28" s="21" t="s">
        <v>103</v>
      </c>
      <c r="C28" s="21" t="s">
        <v>12</v>
      </c>
      <c r="D28" s="21" t="s">
        <v>104</v>
      </c>
      <c r="E28" s="21" t="s">
        <v>105</v>
      </c>
      <c r="F28" s="21" t="s">
        <v>22</v>
      </c>
      <c r="G28" s="21" t="s">
        <v>16</v>
      </c>
      <c r="H28" s="23" t="s">
        <v>28</v>
      </c>
      <c r="I28" s="21" t="str">
        <f>SetorNucleo[[#This Row],[Empresa]]&amp;SetorNucleo[[#This Row],[Setor]]</f>
        <v>COMETABHF</v>
      </c>
      <c r="J28" s="21" t="s">
        <v>29</v>
      </c>
    </row>
    <row r="29" spans="1:10">
      <c r="A29" s="21" t="s">
        <v>23</v>
      </c>
      <c r="B29" s="21" t="s">
        <v>106</v>
      </c>
      <c r="C29" s="21" t="s">
        <v>25</v>
      </c>
      <c r="D29" s="21" t="s">
        <v>102</v>
      </c>
      <c r="F29" s="21" t="s">
        <v>102</v>
      </c>
      <c r="G29" s="21" t="s">
        <v>16</v>
      </c>
      <c r="H29" s="23" t="s">
        <v>28</v>
      </c>
      <c r="I29" s="21" t="str">
        <f>SetorNucleo[[#This Row],[Empresa]]&amp;SetorNucleo[[#This Row],[Setor]]</f>
        <v>COMETACPN</v>
      </c>
      <c r="J29" s="21" t="s">
        <v>29</v>
      </c>
    </row>
    <row r="30" spans="1:10">
      <c r="A30" s="21" t="s">
        <v>50</v>
      </c>
      <c r="B30" s="21" t="s">
        <v>106</v>
      </c>
      <c r="C30" s="21" t="s">
        <v>25</v>
      </c>
      <c r="D30" s="21" t="s">
        <v>102</v>
      </c>
      <c r="F30" s="21" t="s">
        <v>102</v>
      </c>
      <c r="G30" s="21" t="s">
        <v>16</v>
      </c>
      <c r="H30" s="23" t="s">
        <v>57</v>
      </c>
      <c r="I30" s="21" t="str">
        <f>SetorNucleo[[#This Row],[Empresa]]&amp;SetorNucleo[[#This Row],[Setor]]</f>
        <v>CATARINENSECPN</v>
      </c>
      <c r="J30" s="21" t="s">
        <v>55</v>
      </c>
    </row>
    <row r="31" spans="1:10">
      <c r="A31" s="21" t="s">
        <v>63</v>
      </c>
      <c r="B31" s="21" t="s">
        <v>108</v>
      </c>
      <c r="C31" s="21" t="s">
        <v>25</v>
      </c>
      <c r="D31" s="21" t="s">
        <v>109</v>
      </c>
      <c r="F31" s="21" t="s">
        <v>109</v>
      </c>
      <c r="G31" s="21" t="s">
        <v>35</v>
      </c>
      <c r="H31" s="23" t="s">
        <v>66</v>
      </c>
      <c r="I31" s="21" t="str">
        <f>SetorNucleo[[#This Row],[Empresa]]&amp;SetorNucleo[[#This Row],[Setor]]</f>
        <v>AV1001CPS</v>
      </c>
      <c r="J31" s="21">
        <v>1001</v>
      </c>
    </row>
    <row r="32" spans="1:10">
      <c r="A32" s="21" t="s">
        <v>63</v>
      </c>
      <c r="B32" s="24" t="s">
        <v>110</v>
      </c>
      <c r="C32" s="21" t="s">
        <v>32</v>
      </c>
      <c r="D32" s="21" t="s">
        <v>111</v>
      </c>
      <c r="F32" s="21" t="s">
        <v>109</v>
      </c>
      <c r="G32" s="21" t="s">
        <v>35</v>
      </c>
      <c r="H32" s="23" t="s">
        <v>66</v>
      </c>
      <c r="I32" s="21" t="str">
        <f>SetorNucleo[[#This Row],[Empresa]]&amp;SetorNucleo[[#This Row],[Setor]]</f>
        <v>AV1001CPU</v>
      </c>
      <c r="J32" s="21">
        <v>1001</v>
      </c>
    </row>
    <row r="33" spans="1:10">
      <c r="A33" s="21" t="s">
        <v>50</v>
      </c>
      <c r="B33" s="21" t="s">
        <v>112</v>
      </c>
      <c r="C33" s="21" t="s">
        <v>25</v>
      </c>
      <c r="D33" s="21" t="s">
        <v>113</v>
      </c>
      <c r="F33" s="21" t="s">
        <v>113</v>
      </c>
      <c r="G33" s="21" t="s">
        <v>53</v>
      </c>
      <c r="H33" s="23" t="s">
        <v>57</v>
      </c>
      <c r="I33" s="21" t="str">
        <f>SetorNucleo[[#This Row],[Empresa]]&amp;SetorNucleo[[#This Row],[Setor]]</f>
        <v>CATARINENSECTB</v>
      </c>
      <c r="J33" s="21" t="s">
        <v>55</v>
      </c>
    </row>
    <row r="34" spans="1:10">
      <c r="A34" s="21" t="s">
        <v>23</v>
      </c>
      <c r="B34" s="21" t="s">
        <v>112</v>
      </c>
      <c r="C34" s="21" t="s">
        <v>25</v>
      </c>
      <c r="D34" s="21" t="s">
        <v>113</v>
      </c>
      <c r="F34" s="21" t="s">
        <v>113</v>
      </c>
      <c r="G34" s="21" t="s">
        <v>53</v>
      </c>
      <c r="H34" s="23" t="s">
        <v>28</v>
      </c>
      <c r="I34" s="21" t="str">
        <f>SetorNucleo[[#This Row],[Empresa]]&amp;SetorNucleo[[#This Row],[Setor]]</f>
        <v>COMETACTB</v>
      </c>
      <c r="J34" s="21" t="s">
        <v>29</v>
      </c>
    </row>
    <row r="35" spans="1:10">
      <c r="A35" s="24" t="s">
        <v>114</v>
      </c>
      <c r="B35" s="24" t="s">
        <v>112</v>
      </c>
      <c r="C35" s="21" t="s">
        <v>25</v>
      </c>
      <c r="D35" s="21" t="s">
        <v>113</v>
      </c>
      <c r="F35" s="21" t="s">
        <v>113</v>
      </c>
      <c r="G35" s="21" t="s">
        <v>53</v>
      </c>
      <c r="H35" s="23" t="s">
        <v>115</v>
      </c>
      <c r="I35" s="21" t="str">
        <f>SetorNucleo[[#This Row],[Empresa]]&amp;SetorNucleo[[#This Row],[Setor]]</f>
        <v>EXPRESSO DO SULCTB</v>
      </c>
      <c r="J35" s="21" t="s">
        <v>116</v>
      </c>
    </row>
    <row r="36" spans="1:10">
      <c r="A36" s="21" t="s">
        <v>50</v>
      </c>
      <c r="B36" s="21" t="s">
        <v>117</v>
      </c>
      <c r="C36" s="21" t="s">
        <v>12</v>
      </c>
      <c r="D36" s="21" t="s">
        <v>118</v>
      </c>
      <c r="E36" s="21" t="s">
        <v>119</v>
      </c>
      <c r="F36" s="21" t="s">
        <v>120</v>
      </c>
      <c r="G36" s="21" t="s">
        <v>53</v>
      </c>
      <c r="H36" s="23" t="s">
        <v>57</v>
      </c>
      <c r="I36" s="21" t="str">
        <f>SetorNucleo[[#This Row],[Empresa]]&amp;SetorNucleo[[#This Row],[Setor]]</f>
        <v>CATARINENSEBMW</v>
      </c>
      <c r="J36" s="21" t="s">
        <v>55</v>
      </c>
    </row>
    <row r="37" spans="1:10">
      <c r="A37" s="21" t="s">
        <v>23</v>
      </c>
      <c r="B37" s="21" t="s">
        <v>121</v>
      </c>
      <c r="C37" s="21" t="s">
        <v>12</v>
      </c>
      <c r="D37" s="21" t="s">
        <v>122</v>
      </c>
      <c r="E37" s="21" t="s">
        <v>123</v>
      </c>
      <c r="F37" s="21" t="s">
        <v>102</v>
      </c>
      <c r="G37" s="21" t="s">
        <v>16</v>
      </c>
      <c r="H37" s="23" t="s">
        <v>28</v>
      </c>
      <c r="I37" s="21" t="str">
        <f>SetorNucleo[[#This Row],[Empresa]]&amp;SetorNucleo[[#This Row],[Setor]]</f>
        <v>COMETACAM</v>
      </c>
      <c r="J37" s="21" t="s">
        <v>29</v>
      </c>
    </row>
    <row r="38" spans="1:10">
      <c r="A38" s="21" t="s">
        <v>50</v>
      </c>
      <c r="B38" s="21" t="s">
        <v>124</v>
      </c>
      <c r="C38" s="21" t="s">
        <v>42</v>
      </c>
      <c r="D38" s="21" t="s">
        <v>113</v>
      </c>
      <c r="F38" s="21" t="s">
        <v>113</v>
      </c>
      <c r="G38" s="21" t="s">
        <v>53</v>
      </c>
      <c r="H38" s="23" t="s">
        <v>54</v>
      </c>
      <c r="I38" s="21" t="str">
        <f>SetorNucleo[[#This Row],[Empresa]]&amp;SetorNucleo[[#This Row],[Setor]]</f>
        <v>CATARINENSECTI</v>
      </c>
      <c r="J38" s="21" t="s">
        <v>55</v>
      </c>
    </row>
    <row r="39" spans="1:10">
      <c r="A39" s="21" t="s">
        <v>23</v>
      </c>
      <c r="B39" s="21" t="s">
        <v>124</v>
      </c>
      <c r="C39" s="21" t="s">
        <v>42</v>
      </c>
      <c r="D39" s="21" t="s">
        <v>113</v>
      </c>
      <c r="F39" s="21" t="s">
        <v>113</v>
      </c>
      <c r="G39" s="21" t="s">
        <v>53</v>
      </c>
      <c r="H39" s="23" t="s">
        <v>43</v>
      </c>
      <c r="I39" s="21" t="str">
        <f>SetorNucleo[[#This Row],[Empresa]]&amp;SetorNucleo[[#This Row],[Setor]]</f>
        <v>COMETACTI</v>
      </c>
      <c r="J39" s="21" t="s">
        <v>29</v>
      </c>
    </row>
    <row r="40" spans="1:10">
      <c r="A40" s="21" t="s">
        <v>23</v>
      </c>
      <c r="B40" s="21" t="s">
        <v>125</v>
      </c>
      <c r="C40" s="21" t="s">
        <v>12</v>
      </c>
      <c r="D40" s="21" t="s">
        <v>126</v>
      </c>
      <c r="E40" s="21" t="s">
        <v>127</v>
      </c>
      <c r="F40" s="21" t="s">
        <v>102</v>
      </c>
      <c r="G40" s="21" t="s">
        <v>16</v>
      </c>
      <c r="H40" s="23" t="s">
        <v>28</v>
      </c>
      <c r="I40" s="21" t="str">
        <f>SetorNucleo[[#This Row],[Empresa]]&amp;SetorNucleo[[#This Row],[Setor]]</f>
        <v>COMETACCN</v>
      </c>
      <c r="J40" s="21" t="s">
        <v>29</v>
      </c>
    </row>
    <row r="41" spans="1:10">
      <c r="A41" s="21" t="s">
        <v>114</v>
      </c>
      <c r="B41" s="21" t="s">
        <v>128</v>
      </c>
      <c r="C41" s="21" t="s">
        <v>25</v>
      </c>
      <c r="D41" s="21" t="s">
        <v>113</v>
      </c>
      <c r="F41" s="21" t="s">
        <v>113</v>
      </c>
      <c r="G41" s="21" t="s">
        <v>53</v>
      </c>
      <c r="H41" s="23" t="s">
        <v>115</v>
      </c>
      <c r="I41" s="21" t="str">
        <f>SetorNucleo[[#This Row],[Empresa]]&amp;SetorNucleo[[#This Row],[Setor]]</f>
        <v>EXPRESSO DO SULCTW</v>
      </c>
      <c r="J41" s="21" t="s">
        <v>116</v>
      </c>
    </row>
    <row r="42" spans="1:10">
      <c r="A42" s="21" t="s">
        <v>50</v>
      </c>
      <c r="B42" s="21" t="s">
        <v>129</v>
      </c>
      <c r="C42" s="21" t="s">
        <v>42</v>
      </c>
      <c r="D42" s="21" t="s">
        <v>130</v>
      </c>
      <c r="F42" s="21" t="s">
        <v>131</v>
      </c>
      <c r="G42" s="21" t="s">
        <v>53</v>
      </c>
      <c r="H42" s="23" t="s">
        <v>54</v>
      </c>
      <c r="I42" s="21" t="str">
        <f>SetorNucleo[[#This Row],[Empresa]]&amp;SetorNucleo[[#This Row],[Setor]]</f>
        <v>CATARINENSECVI</v>
      </c>
      <c r="J42" s="21" t="s">
        <v>55</v>
      </c>
    </row>
    <row r="43" spans="1:10">
      <c r="A43" s="21" t="s">
        <v>50</v>
      </c>
      <c r="B43" s="21" t="s">
        <v>132</v>
      </c>
      <c r="C43" s="21" t="s">
        <v>25</v>
      </c>
      <c r="D43" s="21" t="s">
        <v>130</v>
      </c>
      <c r="F43" s="21" t="s">
        <v>131</v>
      </c>
      <c r="G43" s="21" t="s">
        <v>53</v>
      </c>
      <c r="H43" s="23" t="s">
        <v>57</v>
      </c>
      <c r="I43" s="21" t="str">
        <f>SetorNucleo[[#This Row],[Empresa]]&amp;SetorNucleo[[#This Row],[Setor]]</f>
        <v>CATARINENSECVL</v>
      </c>
      <c r="J43" s="21" t="s">
        <v>55</v>
      </c>
    </row>
    <row r="44" spans="1:10">
      <c r="A44" s="21" t="s">
        <v>63</v>
      </c>
      <c r="B44" s="21" t="s">
        <v>133</v>
      </c>
      <c r="C44" s="21" t="s">
        <v>12</v>
      </c>
      <c r="D44" s="21" t="s">
        <v>134</v>
      </c>
      <c r="E44" s="21" t="s">
        <v>135</v>
      </c>
      <c r="F44" s="21" t="s">
        <v>89</v>
      </c>
      <c r="G44" s="21" t="s">
        <v>35</v>
      </c>
      <c r="H44" s="23" t="s">
        <v>66</v>
      </c>
      <c r="I44" s="21" t="str">
        <f>SetorNucleo[[#This Row],[Empresa]]&amp;SetorNucleo[[#This Row],[Setor]]</f>
        <v>AV1001CDR</v>
      </c>
      <c r="J44" s="21">
        <v>1001</v>
      </c>
    </row>
    <row r="45" spans="1:10">
      <c r="A45" s="21" t="s">
        <v>63</v>
      </c>
      <c r="B45" s="21" t="s">
        <v>136</v>
      </c>
      <c r="C45" s="21" t="s">
        <v>12</v>
      </c>
      <c r="D45" s="21" t="s">
        <v>137</v>
      </c>
      <c r="E45" s="21" t="s">
        <v>138</v>
      </c>
      <c r="F45" s="21" t="s">
        <v>89</v>
      </c>
      <c r="G45" s="21" t="s">
        <v>35</v>
      </c>
      <c r="H45" s="23" t="s">
        <v>66</v>
      </c>
      <c r="I45" s="21" t="str">
        <f>SetorNucleo[[#This Row],[Empresa]]&amp;SetorNucleo[[#This Row],[Setor]]</f>
        <v>AV1001CEB</v>
      </c>
      <c r="J45" s="21">
        <v>1001</v>
      </c>
    </row>
    <row r="46" spans="1:10">
      <c r="A46" s="21" t="s">
        <v>23</v>
      </c>
      <c r="B46" s="21" t="s">
        <v>139</v>
      </c>
      <c r="C46" s="21" t="s">
        <v>25</v>
      </c>
      <c r="D46" s="21" t="s">
        <v>140</v>
      </c>
      <c r="F46" s="21" t="s">
        <v>49</v>
      </c>
      <c r="G46" s="21" t="s">
        <v>16</v>
      </c>
      <c r="H46" s="23" t="s">
        <v>28</v>
      </c>
      <c r="I46" s="21" t="str">
        <f>SetorNucleo[[#This Row],[Empresa]]&amp;SetorNucleo[[#This Row],[Setor]]</f>
        <v>COMETACXB</v>
      </c>
      <c r="J46" s="21" t="s">
        <v>29</v>
      </c>
    </row>
    <row r="47" spans="1:10">
      <c r="A47" s="21" t="s">
        <v>63</v>
      </c>
      <c r="B47" s="21" t="s">
        <v>141</v>
      </c>
      <c r="C47" s="21" t="s">
        <v>12</v>
      </c>
      <c r="D47" s="21" t="s">
        <v>142</v>
      </c>
      <c r="E47" s="21" t="s">
        <v>143</v>
      </c>
      <c r="F47" s="21" t="s">
        <v>89</v>
      </c>
      <c r="G47" s="21" t="s">
        <v>35</v>
      </c>
      <c r="H47" s="23" t="s">
        <v>66</v>
      </c>
      <c r="I47" s="21" t="str">
        <f>SetorNucleo[[#This Row],[Empresa]]&amp;SetorNucleo[[#This Row],[Setor]]</f>
        <v>AV1001CEN</v>
      </c>
      <c r="J47" s="21">
        <v>1001</v>
      </c>
    </row>
    <row r="48" spans="1:10">
      <c r="A48" s="21" t="s">
        <v>23</v>
      </c>
      <c r="B48" s="21" t="s">
        <v>144</v>
      </c>
      <c r="C48" s="21" t="s">
        <v>12</v>
      </c>
      <c r="D48" s="21" t="s">
        <v>102</v>
      </c>
      <c r="E48" s="21" t="s">
        <v>145</v>
      </c>
      <c r="F48" s="21" t="s">
        <v>102</v>
      </c>
      <c r="G48" s="21" t="s">
        <v>16</v>
      </c>
      <c r="H48" s="23" t="s">
        <v>28</v>
      </c>
      <c r="I48" s="21" t="str">
        <f>SetorNucleo[[#This Row],[Empresa]]&amp;SetorNucleo[[#This Row],[Setor]]</f>
        <v>COMETACIL</v>
      </c>
      <c r="J48" s="21" t="s">
        <v>29</v>
      </c>
    </row>
    <row r="49" spans="1:10">
      <c r="A49" s="24" t="s">
        <v>50</v>
      </c>
      <c r="B49" s="24" t="s">
        <v>146</v>
      </c>
      <c r="C49" s="21" t="s">
        <v>25</v>
      </c>
      <c r="D49" s="21" t="s">
        <v>147</v>
      </c>
      <c r="F49" s="21" t="s">
        <v>71</v>
      </c>
      <c r="G49" s="21" t="s">
        <v>53</v>
      </c>
      <c r="H49" s="23" t="s">
        <v>57</v>
      </c>
      <c r="I49" s="21" t="str">
        <f>SetorNucleo[[#This Row],[Empresa]]&amp;SetorNucleo[[#This Row],[Setor]]</f>
        <v>CATARINENSEENS</v>
      </c>
      <c r="J49" s="21" t="s">
        <v>55</v>
      </c>
    </row>
    <row r="50" spans="1:10">
      <c r="A50" s="21" t="s">
        <v>23</v>
      </c>
      <c r="B50" s="21" t="s">
        <v>148</v>
      </c>
      <c r="C50" s="21" t="s">
        <v>12</v>
      </c>
      <c r="D50" s="21" t="s">
        <v>149</v>
      </c>
      <c r="E50" s="21" t="s">
        <v>150</v>
      </c>
      <c r="F50" s="21" t="s">
        <v>22</v>
      </c>
      <c r="G50" s="21" t="s">
        <v>16</v>
      </c>
      <c r="H50" s="23" t="s">
        <v>28</v>
      </c>
      <c r="I50" s="21" t="str">
        <f>SetorNucleo[[#This Row],[Empresa]]&amp;SetorNucleo[[#This Row],[Setor]]</f>
        <v>COMETACMM</v>
      </c>
      <c r="J50" s="21" t="s">
        <v>29</v>
      </c>
    </row>
    <row r="51" spans="1:10">
      <c r="A51" s="21" t="s">
        <v>63</v>
      </c>
      <c r="B51" s="21" t="s">
        <v>151</v>
      </c>
      <c r="C51" s="21" t="s">
        <v>25</v>
      </c>
      <c r="D51" s="21" t="s">
        <v>152</v>
      </c>
      <c r="F51" s="21" t="s">
        <v>152</v>
      </c>
      <c r="G51" s="21" t="s">
        <v>35</v>
      </c>
      <c r="H51" s="23" t="s">
        <v>66</v>
      </c>
      <c r="I51" s="21" t="str">
        <f>SetorNucleo[[#This Row],[Empresa]]&amp;SetorNucleo[[#This Row],[Setor]]</f>
        <v>AV1001FBU</v>
      </c>
      <c r="J51" s="21">
        <v>1001</v>
      </c>
    </row>
    <row r="52" spans="1:10">
      <c r="A52" s="21" t="s">
        <v>30</v>
      </c>
      <c r="B52" s="21" t="s">
        <v>151</v>
      </c>
      <c r="C52" s="21" t="s">
        <v>32</v>
      </c>
      <c r="D52" s="21" t="s">
        <v>153</v>
      </c>
      <c r="F52" s="21" t="s">
        <v>152</v>
      </c>
      <c r="G52" s="21" t="s">
        <v>35</v>
      </c>
      <c r="H52" s="23" t="s">
        <v>30</v>
      </c>
      <c r="I52" s="21" t="str">
        <f>SetorNucleo[[#This Row],[Empresa]]&amp;SetorNucleo[[#This Row],[Setor]]</f>
        <v>AV1001 URBFBU</v>
      </c>
      <c r="J52" s="21" t="s">
        <v>36</v>
      </c>
    </row>
    <row r="53" spans="1:10">
      <c r="A53" s="21" t="s">
        <v>50</v>
      </c>
      <c r="B53" s="21" t="s">
        <v>154</v>
      </c>
      <c r="C53" s="21" t="s">
        <v>42</v>
      </c>
      <c r="D53" s="21" t="s">
        <v>71</v>
      </c>
      <c r="F53" s="21" t="s">
        <v>71</v>
      </c>
      <c r="G53" s="21" t="s">
        <v>53</v>
      </c>
      <c r="H53" s="23" t="s">
        <v>54</v>
      </c>
      <c r="I53" s="21" t="str">
        <f>SetorNucleo[[#This Row],[Empresa]]&amp;SetorNucleo[[#This Row],[Setor]]</f>
        <v>CATARINENSEFLI</v>
      </c>
      <c r="J53" s="21" t="s">
        <v>55</v>
      </c>
    </row>
    <row r="54" spans="1:10">
      <c r="A54" s="21" t="s">
        <v>63</v>
      </c>
      <c r="B54" s="21" t="s">
        <v>155</v>
      </c>
      <c r="C54" s="21" t="s">
        <v>25</v>
      </c>
      <c r="D54" s="21" t="s">
        <v>71</v>
      </c>
      <c r="F54" s="21" t="s">
        <v>71</v>
      </c>
      <c r="G54" s="21" t="s">
        <v>53</v>
      </c>
      <c r="H54" s="23" t="s">
        <v>66</v>
      </c>
      <c r="I54" s="21" t="str">
        <f>SetorNucleo[[#This Row],[Empresa]]&amp;SetorNucleo[[#This Row],[Setor]]</f>
        <v>AV1001FLN</v>
      </c>
      <c r="J54" s="21">
        <v>1001</v>
      </c>
    </row>
    <row r="55" spans="1:10">
      <c r="A55" s="21" t="s">
        <v>50</v>
      </c>
      <c r="B55" s="21" t="s">
        <v>155</v>
      </c>
      <c r="C55" s="21" t="s">
        <v>25</v>
      </c>
      <c r="D55" s="21" t="s">
        <v>71</v>
      </c>
      <c r="F55" s="21" t="s">
        <v>71</v>
      </c>
      <c r="G55" s="21" t="s">
        <v>53</v>
      </c>
      <c r="H55" s="23" t="s">
        <v>57</v>
      </c>
      <c r="I55" s="21" t="str">
        <f>SetorNucleo[[#This Row],[Empresa]]&amp;SetorNucleo[[#This Row],[Setor]]</f>
        <v>CATARINENSEFLN</v>
      </c>
      <c r="J55" s="21" t="s">
        <v>55</v>
      </c>
    </row>
    <row r="56" spans="1:10">
      <c r="A56" s="24" t="s">
        <v>114</v>
      </c>
      <c r="B56" s="21" t="s">
        <v>156</v>
      </c>
      <c r="C56" s="21" t="s">
        <v>25</v>
      </c>
      <c r="D56" s="21" t="s">
        <v>71</v>
      </c>
      <c r="F56" s="21" t="s">
        <v>71</v>
      </c>
      <c r="G56" s="21" t="s">
        <v>16</v>
      </c>
      <c r="H56" s="23" t="s">
        <v>115</v>
      </c>
      <c r="I56" s="21" t="str">
        <f>SetorNucleo[[#This Row],[Empresa]]&amp;SetorNucleo[[#This Row],[Setor]]</f>
        <v>EXPRESSO DO SULFLO</v>
      </c>
      <c r="J56" s="21" t="s">
        <v>116</v>
      </c>
    </row>
    <row r="57" spans="1:10">
      <c r="A57" s="21" t="s">
        <v>23</v>
      </c>
      <c r="B57" s="21" t="s">
        <v>157</v>
      </c>
      <c r="C57" s="21" t="s">
        <v>12</v>
      </c>
      <c r="D57" s="21" t="s">
        <v>158</v>
      </c>
      <c r="E57" s="21" t="s">
        <v>159</v>
      </c>
      <c r="F57" s="21" t="s">
        <v>102</v>
      </c>
      <c r="G57" s="21" t="s">
        <v>16</v>
      </c>
      <c r="H57" s="23" t="s">
        <v>28</v>
      </c>
      <c r="I57" s="21" t="str">
        <f>SetorNucleo[[#This Row],[Empresa]]&amp;SetorNucleo[[#This Row],[Setor]]</f>
        <v>COMETACPA</v>
      </c>
      <c r="J57" s="21" t="s">
        <v>29</v>
      </c>
    </row>
    <row r="58" spans="1:10">
      <c r="A58" s="21" t="s">
        <v>50</v>
      </c>
      <c r="B58" s="21" t="s">
        <v>160</v>
      </c>
      <c r="C58" s="21" t="s">
        <v>25</v>
      </c>
      <c r="D58" s="21" t="s">
        <v>131</v>
      </c>
      <c r="F58" s="21" t="s">
        <v>131</v>
      </c>
      <c r="G58" s="21" t="s">
        <v>53</v>
      </c>
      <c r="H58" s="23" t="s">
        <v>57</v>
      </c>
      <c r="I58" s="21" t="str">
        <f>SetorNucleo[[#This Row],[Empresa]]&amp;SetorNucleo[[#This Row],[Setor]]</f>
        <v>CATARINENSEFOZ</v>
      </c>
      <c r="J58" s="21" t="s">
        <v>55</v>
      </c>
    </row>
    <row r="59" spans="1:10">
      <c r="A59" s="21" t="s">
        <v>63</v>
      </c>
      <c r="B59" s="21" t="s">
        <v>161</v>
      </c>
      <c r="C59" s="21" t="s">
        <v>25</v>
      </c>
      <c r="D59" s="21" t="s">
        <v>152</v>
      </c>
      <c r="F59" s="21" t="s">
        <v>152</v>
      </c>
      <c r="G59" s="21" t="s">
        <v>35</v>
      </c>
      <c r="H59" s="23" t="s">
        <v>66</v>
      </c>
      <c r="I59" s="21" t="str">
        <f>SetorNucleo[[#This Row],[Empresa]]&amp;SetorNucleo[[#This Row],[Setor]]</f>
        <v>AV1001FRB</v>
      </c>
      <c r="J59" s="21">
        <v>1001</v>
      </c>
    </row>
    <row r="60" spans="1:10">
      <c r="A60" s="21" t="s">
        <v>23</v>
      </c>
      <c r="B60" s="21" t="s">
        <v>162</v>
      </c>
      <c r="C60" s="21" t="s">
        <v>25</v>
      </c>
      <c r="D60" s="21" t="s">
        <v>163</v>
      </c>
      <c r="F60" s="21" t="s">
        <v>27</v>
      </c>
      <c r="G60" s="21" t="s">
        <v>16</v>
      </c>
      <c r="H60" s="23" t="s">
        <v>28</v>
      </c>
      <c r="I60" s="21" t="str">
        <f>SetorNucleo[[#This Row],[Empresa]]&amp;SetorNucleo[[#This Row],[Setor]]</f>
        <v>COMETAFRC</v>
      </c>
      <c r="J60" s="21" t="s">
        <v>29</v>
      </c>
    </row>
    <row r="61" spans="1:10">
      <c r="A61" s="21" t="s">
        <v>30</v>
      </c>
      <c r="B61" s="21" t="s">
        <v>164</v>
      </c>
      <c r="C61" s="21" t="s">
        <v>32</v>
      </c>
      <c r="D61" s="21" t="s">
        <v>165</v>
      </c>
      <c r="F61" s="21" t="s">
        <v>152</v>
      </c>
      <c r="G61" s="21" t="s">
        <v>35</v>
      </c>
      <c r="H61" s="23" t="s">
        <v>30</v>
      </c>
      <c r="I61" s="21" t="str">
        <f>SetorNucleo[[#This Row],[Empresa]]&amp;SetorNucleo[[#This Row],[Setor]]</f>
        <v>AV1001 URBFRS</v>
      </c>
      <c r="J61" s="21" t="s">
        <v>36</v>
      </c>
    </row>
    <row r="62" spans="1:10">
      <c r="A62" s="21" t="s">
        <v>30</v>
      </c>
      <c r="B62" s="21" t="s">
        <v>166</v>
      </c>
      <c r="C62" s="21" t="s">
        <v>32</v>
      </c>
      <c r="D62" s="21" t="s">
        <v>153</v>
      </c>
      <c r="F62" s="21" t="s">
        <v>152</v>
      </c>
      <c r="G62" s="21" t="s">
        <v>35</v>
      </c>
      <c r="H62" s="23" t="s">
        <v>30</v>
      </c>
      <c r="I62" s="21" t="str">
        <f>SetorNucleo[[#This Row],[Empresa]]&amp;SetorNucleo[[#This Row],[Setor]]</f>
        <v>AV1001 URBFRU</v>
      </c>
      <c r="J62" s="21" t="s">
        <v>36</v>
      </c>
    </row>
    <row r="63" spans="1:10">
      <c r="A63" s="21" t="s">
        <v>50</v>
      </c>
      <c r="B63" s="21" t="s">
        <v>167</v>
      </c>
      <c r="C63" s="21" t="s">
        <v>42</v>
      </c>
      <c r="D63" s="21" t="s">
        <v>131</v>
      </c>
      <c r="F63" s="21" t="s">
        <v>131</v>
      </c>
      <c r="G63" s="21" t="s">
        <v>53</v>
      </c>
      <c r="H63" s="23" t="s">
        <v>54</v>
      </c>
      <c r="I63" s="21" t="str">
        <f>SetorNucleo[[#This Row],[Empresa]]&amp;SetorNucleo[[#This Row],[Setor]]</f>
        <v>CATARINENSEFZI</v>
      </c>
      <c r="J63" s="21" t="s">
        <v>55</v>
      </c>
    </row>
    <row r="64" spans="1:10">
      <c r="A64" s="21" t="s">
        <v>50</v>
      </c>
      <c r="B64" s="21" t="s">
        <v>168</v>
      </c>
      <c r="C64" s="21" t="s">
        <v>25</v>
      </c>
      <c r="D64" s="21" t="s">
        <v>169</v>
      </c>
      <c r="F64" s="21" t="s">
        <v>107</v>
      </c>
      <c r="G64" s="21" t="s">
        <v>16</v>
      </c>
      <c r="H64" s="23" t="s">
        <v>57</v>
      </c>
      <c r="I64" s="21" t="str">
        <f>SetorNucleo[[#This Row],[Empresa]]&amp;SetorNucleo[[#This Row],[Setor]]</f>
        <v>CATARINENSEG03</v>
      </c>
      <c r="J64" s="21" t="s">
        <v>55</v>
      </c>
    </row>
    <row r="65" spans="1:10">
      <c r="A65" s="21" t="s">
        <v>23</v>
      </c>
      <c r="B65" s="21" t="s">
        <v>168</v>
      </c>
      <c r="C65" s="21" t="s">
        <v>25</v>
      </c>
      <c r="D65" s="21" t="s">
        <v>169</v>
      </c>
      <c r="F65" s="21" t="s">
        <v>107</v>
      </c>
      <c r="G65" s="21" t="s">
        <v>16</v>
      </c>
      <c r="H65" s="23" t="s">
        <v>28</v>
      </c>
      <c r="I65" s="21" t="str">
        <f>SetorNucleo[[#This Row],[Empresa]]&amp;SetorNucleo[[#This Row],[Setor]]</f>
        <v>COMETAG03</v>
      </c>
      <c r="J65" s="21" t="s">
        <v>29</v>
      </c>
    </row>
    <row r="66" spans="1:10">
      <c r="A66" s="21" t="s">
        <v>114</v>
      </c>
      <c r="B66" s="21" t="s">
        <v>168</v>
      </c>
      <c r="C66" s="21" t="s">
        <v>25</v>
      </c>
      <c r="D66" s="21" t="s">
        <v>169</v>
      </c>
      <c r="F66" s="21" t="s">
        <v>107</v>
      </c>
      <c r="G66" s="21" t="s">
        <v>16</v>
      </c>
      <c r="H66" s="23" t="s">
        <v>115</v>
      </c>
      <c r="I66" s="21" t="str">
        <f>SetorNucleo[[#This Row],[Empresa]]&amp;SetorNucleo[[#This Row],[Setor]]</f>
        <v>EXPRESSO DO SULG03</v>
      </c>
      <c r="J66" s="21" t="s">
        <v>116</v>
      </c>
    </row>
    <row r="67" spans="1:10">
      <c r="A67" s="24" t="s">
        <v>114</v>
      </c>
      <c r="B67" s="24" t="s">
        <v>170</v>
      </c>
      <c r="C67" s="21" t="s">
        <v>12</v>
      </c>
      <c r="D67" s="21" t="s">
        <v>102</v>
      </c>
      <c r="F67" s="21" t="s">
        <v>102</v>
      </c>
      <c r="G67" s="21" t="s">
        <v>16</v>
      </c>
      <c r="H67" s="23" t="s">
        <v>115</v>
      </c>
      <c r="I67" s="21" t="str">
        <f>SetorNucleo[[#This Row],[Empresa]]&amp;SetorNucleo[[#This Row],[Setor]]</f>
        <v>EXPRESSO DO SULCPE</v>
      </c>
      <c r="J67" s="21" t="s">
        <v>116</v>
      </c>
    </row>
    <row r="68" spans="1:10">
      <c r="A68" s="21" t="s">
        <v>23</v>
      </c>
      <c r="B68" s="21" t="s">
        <v>171</v>
      </c>
      <c r="C68" s="21" t="s">
        <v>25</v>
      </c>
      <c r="D68" s="21" t="s">
        <v>172</v>
      </c>
      <c r="F68" s="21" t="s">
        <v>49</v>
      </c>
      <c r="G68" s="21" t="s">
        <v>16</v>
      </c>
      <c r="H68" s="23" t="s">
        <v>28</v>
      </c>
      <c r="I68" s="21" t="str">
        <f>SetorNucleo[[#This Row],[Empresa]]&amp;SetorNucleo[[#This Row],[Setor]]</f>
        <v>COMETAGER</v>
      </c>
      <c r="J68" s="21" t="s">
        <v>29</v>
      </c>
    </row>
    <row r="69" spans="1:10">
      <c r="A69" s="21" t="s">
        <v>50</v>
      </c>
      <c r="B69" s="21" t="s">
        <v>173</v>
      </c>
      <c r="C69" s="21" t="s">
        <v>25</v>
      </c>
      <c r="D69" s="21" t="s">
        <v>174</v>
      </c>
      <c r="F69" s="21" t="s">
        <v>113</v>
      </c>
      <c r="G69" s="21" t="s">
        <v>53</v>
      </c>
      <c r="H69" s="23" t="s">
        <v>57</v>
      </c>
      <c r="I69" s="21" t="str">
        <f>SetorNucleo[[#This Row],[Empresa]]&amp;SetorNucleo[[#This Row],[Setor]]</f>
        <v>CATARINENSEGRP</v>
      </c>
      <c r="J69" s="21" t="s">
        <v>55</v>
      </c>
    </row>
    <row r="70" spans="1:10">
      <c r="A70" s="21" t="s">
        <v>50</v>
      </c>
      <c r="B70" s="21" t="s">
        <v>175</v>
      </c>
      <c r="C70" s="21" t="s">
        <v>25</v>
      </c>
      <c r="D70" s="21" t="s">
        <v>176</v>
      </c>
      <c r="F70" s="21" t="s">
        <v>71</v>
      </c>
      <c r="G70" s="21" t="s">
        <v>53</v>
      </c>
      <c r="H70" s="23" t="s">
        <v>57</v>
      </c>
      <c r="I70" s="21" t="str">
        <f>SetorNucleo[[#This Row],[Empresa]]&amp;SetorNucleo[[#This Row],[Setor]]</f>
        <v>CATARINENSEIBT</v>
      </c>
      <c r="J70" s="21" t="s">
        <v>55</v>
      </c>
    </row>
    <row r="71" spans="1:10">
      <c r="A71" s="21" t="s">
        <v>63</v>
      </c>
      <c r="B71" s="21" t="s">
        <v>177</v>
      </c>
      <c r="C71" s="21" t="s">
        <v>12</v>
      </c>
      <c r="D71" s="21" t="s">
        <v>109</v>
      </c>
      <c r="F71" s="21" t="s">
        <v>109</v>
      </c>
      <c r="G71" s="21" t="s">
        <v>35</v>
      </c>
      <c r="H71" s="23" t="s">
        <v>66</v>
      </c>
      <c r="I71" s="21" t="str">
        <f>SetorNucleo[[#This Row],[Empresa]]&amp;SetorNucleo[[#This Row],[Setor]]</f>
        <v>AV1001CPF</v>
      </c>
      <c r="J71" s="21">
        <v>1001</v>
      </c>
    </row>
    <row r="72" spans="1:10">
      <c r="A72" s="21" t="s">
        <v>63</v>
      </c>
      <c r="B72" s="21" t="s">
        <v>178</v>
      </c>
      <c r="C72" s="21" t="s">
        <v>178</v>
      </c>
      <c r="D72" s="21" t="s">
        <v>178</v>
      </c>
      <c r="E72" s="21" t="s">
        <v>178</v>
      </c>
      <c r="F72" s="21" t="s">
        <v>178</v>
      </c>
      <c r="G72" s="21" t="s">
        <v>35</v>
      </c>
      <c r="H72" s="23" t="s">
        <v>66</v>
      </c>
      <c r="I72" s="21" t="str">
        <f>SetorNucleo[[#This Row],[Empresa]]&amp;SetorNucleo[[#This Row],[Setor]]</f>
        <v>AV1001INSTRUTOR</v>
      </c>
      <c r="J72" s="21">
        <v>1001</v>
      </c>
    </row>
    <row r="73" spans="1:10">
      <c r="A73" s="21" t="s">
        <v>30</v>
      </c>
      <c r="B73" s="21" t="s">
        <v>178</v>
      </c>
      <c r="C73" s="21" t="s">
        <v>178</v>
      </c>
      <c r="D73" s="21" t="s">
        <v>178</v>
      </c>
      <c r="E73" s="21" t="s">
        <v>178</v>
      </c>
      <c r="F73" s="21" t="s">
        <v>178</v>
      </c>
      <c r="G73" s="21" t="s">
        <v>35</v>
      </c>
      <c r="H73" s="23" t="s">
        <v>30</v>
      </c>
      <c r="I73" s="21" t="str">
        <f>SetorNucleo[[#This Row],[Empresa]]&amp;SetorNucleo[[#This Row],[Setor]]</f>
        <v>AV1001 URBINSTRUTOR</v>
      </c>
      <c r="J73" s="21" t="s">
        <v>36</v>
      </c>
    </row>
    <row r="74" spans="1:10">
      <c r="A74" s="21" t="s">
        <v>50</v>
      </c>
      <c r="B74" s="21" t="s">
        <v>178</v>
      </c>
      <c r="C74" s="21" t="s">
        <v>178</v>
      </c>
      <c r="D74" s="21" t="s">
        <v>178</v>
      </c>
      <c r="E74" s="21" t="s">
        <v>178</v>
      </c>
      <c r="F74" s="21" t="s">
        <v>178</v>
      </c>
      <c r="G74" s="21" t="s">
        <v>53</v>
      </c>
      <c r="H74" s="23" t="s">
        <v>57</v>
      </c>
      <c r="I74" s="21" t="str">
        <f>SetorNucleo[[#This Row],[Empresa]]&amp;SetorNucleo[[#This Row],[Setor]]</f>
        <v>CATARINENSEINSTRUTOR</v>
      </c>
      <c r="J74" s="21" t="s">
        <v>55</v>
      </c>
    </row>
    <row r="75" spans="1:10">
      <c r="A75" s="21" t="s">
        <v>23</v>
      </c>
      <c r="B75" s="21" t="s">
        <v>178</v>
      </c>
      <c r="C75" s="21" t="s">
        <v>178</v>
      </c>
      <c r="D75" s="21" t="s">
        <v>178</v>
      </c>
      <c r="E75" s="21" t="s">
        <v>178</v>
      </c>
      <c r="F75" s="21" t="s">
        <v>178</v>
      </c>
      <c r="G75" s="21" t="s">
        <v>16</v>
      </c>
      <c r="H75" s="23" t="s">
        <v>28</v>
      </c>
      <c r="I75" s="21" t="str">
        <f>SetorNucleo[[#This Row],[Empresa]]&amp;SetorNucleo[[#This Row],[Setor]]</f>
        <v>COMETAINSTRUTOR</v>
      </c>
      <c r="J75" s="21" t="s">
        <v>29</v>
      </c>
    </row>
    <row r="76" spans="1:10">
      <c r="A76" s="21" t="s">
        <v>114</v>
      </c>
      <c r="B76" s="21" t="s">
        <v>178</v>
      </c>
      <c r="C76" s="21" t="s">
        <v>178</v>
      </c>
      <c r="D76" s="21" t="s">
        <v>178</v>
      </c>
      <c r="E76" s="21" t="s">
        <v>178</v>
      </c>
      <c r="F76" s="21" t="s">
        <v>178</v>
      </c>
      <c r="G76" s="21" t="s">
        <v>16</v>
      </c>
      <c r="H76" s="23" t="s">
        <v>115</v>
      </c>
      <c r="I76" s="21" t="str">
        <f>SetorNucleo[[#This Row],[Empresa]]&amp;SetorNucleo[[#This Row],[Setor]]</f>
        <v>EXPRESSO DO SULINSTRUTOR</v>
      </c>
      <c r="J76" s="21" t="s">
        <v>116</v>
      </c>
    </row>
    <row r="77" spans="1:10">
      <c r="A77" s="21" t="s">
        <v>179</v>
      </c>
      <c r="B77" s="21" t="s">
        <v>178</v>
      </c>
      <c r="C77" s="21" t="s">
        <v>178</v>
      </c>
      <c r="D77" s="21" t="s">
        <v>178</v>
      </c>
      <c r="E77" s="21" t="s">
        <v>178</v>
      </c>
      <c r="F77" s="21" t="s">
        <v>178</v>
      </c>
      <c r="G77" s="21" t="s">
        <v>35</v>
      </c>
      <c r="H77" s="21" t="s">
        <v>179</v>
      </c>
      <c r="I77" s="21" t="str">
        <f>SetorNucleo[[#This Row],[Empresa]]&amp;SetorNucleo[[#This Row],[Setor]]</f>
        <v>MACAENSEINSTRUTOR</v>
      </c>
      <c r="J77" s="21" t="s">
        <v>180</v>
      </c>
    </row>
    <row r="78" spans="1:10">
      <c r="A78" s="21" t="s">
        <v>10</v>
      </c>
      <c r="B78" s="21" t="s">
        <v>178</v>
      </c>
      <c r="C78" s="21" t="s">
        <v>178</v>
      </c>
      <c r="D78" s="21" t="s">
        <v>178</v>
      </c>
      <c r="E78" s="21" t="s">
        <v>178</v>
      </c>
      <c r="F78" s="21" t="s">
        <v>178</v>
      </c>
      <c r="G78" s="21" t="s">
        <v>16</v>
      </c>
      <c r="H78" s="23" t="s">
        <v>17</v>
      </c>
      <c r="I78" s="21" t="str">
        <f>SetorNucleo[[#This Row],[Empresa]]&amp;SetorNucleo[[#This Row],[Setor]]</f>
        <v>OPÇAOINSTRUTOR</v>
      </c>
      <c r="J78" s="21" t="s">
        <v>18</v>
      </c>
    </row>
    <row r="79" spans="1:10">
      <c r="A79" s="21" t="s">
        <v>181</v>
      </c>
      <c r="B79" s="21" t="s">
        <v>178</v>
      </c>
      <c r="C79" s="21" t="s">
        <v>178</v>
      </c>
      <c r="D79" s="21" t="s">
        <v>178</v>
      </c>
      <c r="E79" s="21" t="s">
        <v>178</v>
      </c>
      <c r="F79" s="21" t="s">
        <v>178</v>
      </c>
      <c r="G79" s="21" t="s">
        <v>16</v>
      </c>
      <c r="H79" s="23" t="s">
        <v>17</v>
      </c>
      <c r="I79" s="21" t="str">
        <f>SetorNucleo[[#This Row],[Empresa]]&amp;SetorNucleo[[#This Row],[Setor]]</f>
        <v>OPÇAO - SOROCABAINSTRUTOR</v>
      </c>
      <c r="J79" s="21" t="s">
        <v>18</v>
      </c>
    </row>
    <row r="80" spans="1:10">
      <c r="A80" s="21" t="s">
        <v>182</v>
      </c>
      <c r="B80" s="21" t="s">
        <v>178</v>
      </c>
      <c r="C80" s="21" t="s">
        <v>178</v>
      </c>
      <c r="D80" s="21" t="s">
        <v>178</v>
      </c>
      <c r="E80" s="21" t="s">
        <v>178</v>
      </c>
      <c r="F80" s="21" t="s">
        <v>178</v>
      </c>
      <c r="G80" s="21" t="s">
        <v>16</v>
      </c>
      <c r="H80" s="23" t="s">
        <v>183</v>
      </c>
      <c r="I80" s="21" t="str">
        <f>SetorNucleo[[#This Row],[Empresa]]&amp;SetorNucleo[[#This Row],[Setor]]</f>
        <v>RAPIDO RIBEIRAOINSTRUTOR</v>
      </c>
      <c r="J80" s="21" t="s">
        <v>184</v>
      </c>
    </row>
    <row r="81" spans="1:10">
      <c r="A81" s="21" t="s">
        <v>185</v>
      </c>
      <c r="B81" s="21" t="s">
        <v>178</v>
      </c>
      <c r="C81" s="21" t="s">
        <v>178</v>
      </c>
      <c r="D81" s="21" t="s">
        <v>178</v>
      </c>
      <c r="E81" s="21" t="s">
        <v>178</v>
      </c>
      <c r="F81" s="21" t="s">
        <v>178</v>
      </c>
      <c r="G81" s="21" t="s">
        <v>35</v>
      </c>
      <c r="H81" s="21" t="s">
        <v>185</v>
      </c>
      <c r="I81" s="21" t="str">
        <f>SetorNucleo[[#This Row],[Empresa]]&amp;SetorNucleo[[#This Row],[Setor]]</f>
        <v>SITINSTRUTOR</v>
      </c>
      <c r="J81" s="21" t="s">
        <v>185</v>
      </c>
    </row>
    <row r="82" spans="1:10">
      <c r="A82" s="21" t="s">
        <v>63</v>
      </c>
      <c r="B82" s="21" t="s">
        <v>186</v>
      </c>
      <c r="C82" s="21" t="s">
        <v>25</v>
      </c>
      <c r="D82" s="21" t="s">
        <v>187</v>
      </c>
      <c r="F82" s="21" t="s">
        <v>187</v>
      </c>
      <c r="G82" s="21" t="s">
        <v>35</v>
      </c>
      <c r="H82" s="23" t="s">
        <v>66</v>
      </c>
      <c r="I82" s="21" t="str">
        <f>SetorNucleo[[#This Row],[Empresa]]&amp;SetorNucleo[[#This Row],[Setor]]</f>
        <v>AV1001ITA</v>
      </c>
      <c r="J82" s="21">
        <v>1001</v>
      </c>
    </row>
    <row r="83" spans="1:10">
      <c r="A83" s="21" t="s">
        <v>23</v>
      </c>
      <c r="B83" s="21" t="s">
        <v>177</v>
      </c>
      <c r="C83" s="21" t="s">
        <v>12</v>
      </c>
      <c r="D83" s="21" t="s">
        <v>102</v>
      </c>
      <c r="E83" s="21" t="s">
        <v>188</v>
      </c>
      <c r="F83" s="21" t="s">
        <v>102</v>
      </c>
      <c r="G83" s="21" t="s">
        <v>16</v>
      </c>
      <c r="H83" s="23" t="s">
        <v>28</v>
      </c>
      <c r="I83" s="21" t="str">
        <f>SetorNucleo[[#This Row],[Empresa]]&amp;SetorNucleo[[#This Row],[Setor]]</f>
        <v>COMETACPF</v>
      </c>
      <c r="J83" s="21" t="s">
        <v>29</v>
      </c>
    </row>
    <row r="84" spans="1:10">
      <c r="A84" s="21" t="s">
        <v>23</v>
      </c>
      <c r="B84" s="21" t="s">
        <v>189</v>
      </c>
      <c r="C84" s="21" t="s">
        <v>12</v>
      </c>
      <c r="D84" s="21" t="s">
        <v>190</v>
      </c>
      <c r="E84" s="21" t="s">
        <v>191</v>
      </c>
      <c r="F84" s="21" t="s">
        <v>102</v>
      </c>
      <c r="G84" s="21" t="s">
        <v>16</v>
      </c>
      <c r="H84" s="23" t="s">
        <v>28</v>
      </c>
      <c r="I84" s="21" t="str">
        <f>SetorNucleo[[#This Row],[Empresa]]&amp;SetorNucleo[[#This Row],[Setor]]</f>
        <v>COMETACPG</v>
      </c>
      <c r="J84" s="21" t="s">
        <v>29</v>
      </c>
    </row>
    <row r="85" spans="1:10">
      <c r="A85" s="21" t="s">
        <v>63</v>
      </c>
      <c r="B85" s="21" t="s">
        <v>192</v>
      </c>
      <c r="C85" s="21" t="s">
        <v>42</v>
      </c>
      <c r="D85" s="21" t="s">
        <v>187</v>
      </c>
      <c r="F85" s="21" t="s">
        <v>187</v>
      </c>
      <c r="G85" s="21" t="s">
        <v>35</v>
      </c>
      <c r="H85" s="23" t="s">
        <v>68</v>
      </c>
      <c r="I85" s="21" t="str">
        <f>SetorNucleo[[#This Row],[Empresa]]&amp;SetorNucleo[[#This Row],[Setor]]</f>
        <v>AV1001ITI</v>
      </c>
      <c r="J85" s="21">
        <v>1001</v>
      </c>
    </row>
    <row r="86" spans="1:10">
      <c r="A86" s="21" t="s">
        <v>50</v>
      </c>
      <c r="B86" s="21" t="s">
        <v>192</v>
      </c>
      <c r="C86" s="21" t="s">
        <v>42</v>
      </c>
      <c r="D86" s="21" t="s">
        <v>193</v>
      </c>
      <c r="F86" s="21" t="s">
        <v>52</v>
      </c>
      <c r="G86" s="21" t="s">
        <v>53</v>
      </c>
      <c r="H86" s="23" t="s">
        <v>54</v>
      </c>
      <c r="I86" s="21" t="str">
        <f>SetorNucleo[[#This Row],[Empresa]]&amp;SetorNucleo[[#This Row],[Setor]]</f>
        <v>CATARINENSEITI</v>
      </c>
      <c r="J86" s="21" t="s">
        <v>55</v>
      </c>
    </row>
    <row r="87" spans="1:10">
      <c r="A87" s="21" t="s">
        <v>50</v>
      </c>
      <c r="B87" s="21" t="s">
        <v>194</v>
      </c>
      <c r="C87" s="21" t="s">
        <v>25</v>
      </c>
      <c r="D87" s="21" t="s">
        <v>193</v>
      </c>
      <c r="F87" s="21" t="s">
        <v>52</v>
      </c>
      <c r="G87" s="21" t="s">
        <v>53</v>
      </c>
      <c r="H87" s="23" t="s">
        <v>57</v>
      </c>
      <c r="I87" s="21" t="str">
        <f>SetorNucleo[[#This Row],[Empresa]]&amp;SetorNucleo[[#This Row],[Setor]]</f>
        <v>CATARINENSEITJ</v>
      </c>
      <c r="J87" s="21" t="s">
        <v>55</v>
      </c>
    </row>
    <row r="88" spans="1:10">
      <c r="A88" s="21" t="s">
        <v>23</v>
      </c>
      <c r="B88" s="21" t="s">
        <v>195</v>
      </c>
      <c r="C88" s="21" t="s">
        <v>12</v>
      </c>
      <c r="D88" s="21" t="s">
        <v>196</v>
      </c>
      <c r="E88" s="21" t="s">
        <v>197</v>
      </c>
      <c r="F88" s="21" t="s">
        <v>102</v>
      </c>
      <c r="G88" s="21" t="s">
        <v>16</v>
      </c>
      <c r="H88" s="23" t="s">
        <v>28</v>
      </c>
      <c r="I88" s="21" t="str">
        <f>SetorNucleo[[#This Row],[Empresa]]&amp;SetorNucleo[[#This Row],[Setor]]</f>
        <v>COMETACPJ</v>
      </c>
      <c r="J88" s="21" t="s">
        <v>29</v>
      </c>
    </row>
    <row r="89" spans="1:10">
      <c r="A89" s="21" t="s">
        <v>23</v>
      </c>
      <c r="B89" s="21" t="s">
        <v>198</v>
      </c>
      <c r="C89" s="21" t="s">
        <v>25</v>
      </c>
      <c r="D89" s="21" t="s">
        <v>199</v>
      </c>
      <c r="F89" s="21" t="s">
        <v>15</v>
      </c>
      <c r="G89" s="21" t="s">
        <v>16</v>
      </c>
      <c r="H89" s="23" t="s">
        <v>28</v>
      </c>
      <c r="I89" s="21" t="str">
        <f>SetorNucleo[[#This Row],[Empresa]]&amp;SetorNucleo[[#This Row],[Setor]]</f>
        <v>COMETAITP</v>
      </c>
      <c r="J89" s="21" t="s">
        <v>29</v>
      </c>
    </row>
    <row r="90" spans="1:10">
      <c r="A90" s="21" t="s">
        <v>50</v>
      </c>
      <c r="B90" s="21" t="s">
        <v>200</v>
      </c>
      <c r="C90" s="21" t="s">
        <v>12</v>
      </c>
      <c r="D90" s="21" t="s">
        <v>113</v>
      </c>
      <c r="F90" s="21" t="s">
        <v>113</v>
      </c>
      <c r="G90" s="21" t="s">
        <v>53</v>
      </c>
      <c r="H90" s="23" t="s">
        <v>57</v>
      </c>
      <c r="I90" s="21" t="str">
        <f>SetorNucleo[[#This Row],[Empresa]]&amp;SetorNucleo[[#This Row],[Setor]]</f>
        <v>CATARINENSECTF</v>
      </c>
      <c r="J90" s="21" t="s">
        <v>55</v>
      </c>
    </row>
    <row r="91" spans="1:10">
      <c r="A91" s="21" t="s">
        <v>23</v>
      </c>
      <c r="B91" s="21" t="s">
        <v>200</v>
      </c>
      <c r="C91" s="21" t="s">
        <v>12</v>
      </c>
      <c r="D91" s="21" t="s">
        <v>201</v>
      </c>
      <c r="E91" s="21" t="s">
        <v>202</v>
      </c>
      <c r="F91" s="21" t="s">
        <v>113</v>
      </c>
      <c r="G91" s="21" t="s">
        <v>53</v>
      </c>
      <c r="H91" s="23" t="s">
        <v>28</v>
      </c>
      <c r="I91" s="21" t="str">
        <f>SetorNucleo[[#This Row],[Empresa]]&amp;SetorNucleo[[#This Row],[Setor]]</f>
        <v>COMETACTF</v>
      </c>
      <c r="J91" s="21" t="s">
        <v>29</v>
      </c>
    </row>
    <row r="92" spans="1:10">
      <c r="A92" s="21" t="s">
        <v>23</v>
      </c>
      <c r="B92" s="21" t="s">
        <v>203</v>
      </c>
      <c r="C92" s="21" t="s">
        <v>25</v>
      </c>
      <c r="D92" s="21" t="s">
        <v>204</v>
      </c>
      <c r="F92" s="21" t="s">
        <v>204</v>
      </c>
      <c r="G92" s="21" t="s">
        <v>16</v>
      </c>
      <c r="H92" s="23" t="s">
        <v>28</v>
      </c>
      <c r="I92" s="21" t="str">
        <f>SetorNucleo[[#This Row],[Empresa]]&amp;SetorNucleo[[#This Row],[Setor]]</f>
        <v>COMETAJDF</v>
      </c>
      <c r="J92" s="21" t="s">
        <v>29</v>
      </c>
    </row>
    <row r="93" spans="1:10">
      <c r="A93" s="21" t="s">
        <v>50</v>
      </c>
      <c r="B93" s="21" t="s">
        <v>205</v>
      </c>
      <c r="C93" s="21" t="s">
        <v>12</v>
      </c>
      <c r="D93" s="21" t="s">
        <v>206</v>
      </c>
      <c r="E93" s="21" t="s">
        <v>207</v>
      </c>
      <c r="F93" s="21" t="s">
        <v>113</v>
      </c>
      <c r="G93" s="21" t="s">
        <v>53</v>
      </c>
      <c r="H93" s="23" t="s">
        <v>57</v>
      </c>
      <c r="I93" s="21" t="str">
        <f>SetorNucleo[[#This Row],[Empresa]]&amp;SetorNucleo[[#This Row],[Setor]]</f>
        <v>CATARINENSECTP</v>
      </c>
      <c r="J93" s="21" t="s">
        <v>55</v>
      </c>
    </row>
    <row r="94" spans="1:10">
      <c r="A94" s="21" t="s">
        <v>23</v>
      </c>
      <c r="B94" s="21" t="s">
        <v>208</v>
      </c>
      <c r="C94" s="21" t="s">
        <v>25</v>
      </c>
      <c r="D94" s="21" t="s">
        <v>209</v>
      </c>
      <c r="F94" s="21" t="s">
        <v>40</v>
      </c>
      <c r="G94" s="21" t="s">
        <v>16</v>
      </c>
      <c r="H94" s="23" t="s">
        <v>28</v>
      </c>
      <c r="I94" s="21" t="str">
        <f>SetorNucleo[[#This Row],[Empresa]]&amp;SetorNucleo[[#This Row],[Setor]]</f>
        <v>COMETAJDI</v>
      </c>
      <c r="J94" s="21" t="s">
        <v>29</v>
      </c>
    </row>
    <row r="95" spans="1:10">
      <c r="A95" s="21" t="s">
        <v>23</v>
      </c>
      <c r="B95" s="21" t="s">
        <v>210</v>
      </c>
      <c r="C95" s="21" t="s">
        <v>12</v>
      </c>
      <c r="D95" s="21" t="s">
        <v>211</v>
      </c>
      <c r="E95" s="21" t="s">
        <v>212</v>
      </c>
      <c r="F95" s="21" t="s">
        <v>102</v>
      </c>
      <c r="G95" s="21" t="s">
        <v>16</v>
      </c>
      <c r="H95" s="23" t="s">
        <v>28</v>
      </c>
      <c r="I95" s="21" t="str">
        <f>SetorNucleo[[#This Row],[Empresa]]&amp;SetorNucleo[[#This Row],[Setor]]</f>
        <v>COMETACYP</v>
      </c>
      <c r="J95" s="21" t="s">
        <v>29</v>
      </c>
    </row>
    <row r="96" spans="1:10">
      <c r="A96" s="21" t="s">
        <v>50</v>
      </c>
      <c r="B96" s="21" t="s">
        <v>213</v>
      </c>
      <c r="C96" s="21" t="s">
        <v>25</v>
      </c>
      <c r="D96" s="21" t="s">
        <v>214</v>
      </c>
      <c r="F96" s="21" t="s">
        <v>120</v>
      </c>
      <c r="G96" s="21" t="s">
        <v>53</v>
      </c>
      <c r="H96" s="23" t="s">
        <v>57</v>
      </c>
      <c r="I96" s="21" t="str">
        <f>SetorNucleo[[#This Row],[Empresa]]&amp;SetorNucleo[[#This Row],[Setor]]</f>
        <v>CATARINENSEJGS</v>
      </c>
      <c r="J96" s="21" t="s">
        <v>55</v>
      </c>
    </row>
    <row r="97" spans="1:10">
      <c r="A97" s="21" t="s">
        <v>50</v>
      </c>
      <c r="B97" s="21" t="s">
        <v>215</v>
      </c>
      <c r="C97" s="21" t="s">
        <v>42</v>
      </c>
      <c r="D97" s="21" t="s">
        <v>214</v>
      </c>
      <c r="F97" s="21" t="s">
        <v>120</v>
      </c>
      <c r="G97" s="21" t="s">
        <v>53</v>
      </c>
      <c r="H97" s="23" t="s">
        <v>54</v>
      </c>
      <c r="I97" s="21" t="str">
        <f>SetorNucleo[[#This Row],[Empresa]]&amp;SetorNucleo[[#This Row],[Setor]]</f>
        <v>CATARINENSEJIN</v>
      </c>
      <c r="J97" s="21" t="s">
        <v>55</v>
      </c>
    </row>
    <row r="98" spans="1:10">
      <c r="A98" s="21" t="s">
        <v>50</v>
      </c>
      <c r="B98" s="21" t="s">
        <v>216</v>
      </c>
      <c r="C98" s="21" t="s">
        <v>12</v>
      </c>
      <c r="D98" s="21" t="s">
        <v>217</v>
      </c>
      <c r="E98" s="21" t="s">
        <v>218</v>
      </c>
      <c r="F98" s="21" t="s">
        <v>120</v>
      </c>
      <c r="G98" s="21" t="s">
        <v>53</v>
      </c>
      <c r="H98" s="23" t="s">
        <v>57</v>
      </c>
      <c r="I98" s="21" t="str">
        <f>SetorNucleo[[#This Row],[Empresa]]&amp;SetorNucleo[[#This Row],[Setor]]</f>
        <v>CATARINENSEDCV</v>
      </c>
      <c r="J98" s="21" t="s">
        <v>55</v>
      </c>
    </row>
    <row r="99" spans="1:10">
      <c r="A99" s="21" t="s">
        <v>23</v>
      </c>
      <c r="B99" s="21" t="s">
        <v>219</v>
      </c>
      <c r="C99" s="21" t="s">
        <v>12</v>
      </c>
      <c r="D99" s="21" t="s">
        <v>220</v>
      </c>
      <c r="E99" s="21" t="s">
        <v>221</v>
      </c>
      <c r="F99" s="21" t="s">
        <v>22</v>
      </c>
      <c r="G99" s="21" t="s">
        <v>16</v>
      </c>
      <c r="H99" s="23" t="s">
        <v>28</v>
      </c>
      <c r="I99" s="21" t="str">
        <f>SetorNucleo[[#This Row],[Empresa]]&amp;SetorNucleo[[#This Row],[Setor]]</f>
        <v>COMETAEPA</v>
      </c>
      <c r="J99" s="21" t="s">
        <v>29</v>
      </c>
    </row>
    <row r="100" spans="1:10">
      <c r="A100" s="21" t="s">
        <v>50</v>
      </c>
      <c r="B100" s="21" t="s">
        <v>222</v>
      </c>
      <c r="C100" s="21" t="s">
        <v>25</v>
      </c>
      <c r="D100" s="21" t="s">
        <v>120</v>
      </c>
      <c r="F100" s="21" t="s">
        <v>120</v>
      </c>
      <c r="G100" s="21" t="s">
        <v>53</v>
      </c>
      <c r="H100" s="23" t="s">
        <v>57</v>
      </c>
      <c r="I100" s="21" t="str">
        <f>SetorNucleo[[#This Row],[Empresa]]&amp;SetorNucleo[[#This Row],[Setor]]</f>
        <v>CATARINENSEJOI</v>
      </c>
      <c r="J100" s="21" t="s">
        <v>55</v>
      </c>
    </row>
    <row r="101" spans="1:10">
      <c r="A101" s="21" t="s">
        <v>63</v>
      </c>
      <c r="B101" s="21" t="s">
        <v>223</v>
      </c>
      <c r="C101" s="21" t="s">
        <v>12</v>
      </c>
      <c r="D101" s="21" t="s">
        <v>224</v>
      </c>
      <c r="E101" s="21" t="s">
        <v>225</v>
      </c>
      <c r="F101" s="21" t="s">
        <v>89</v>
      </c>
      <c r="G101" s="21" t="s">
        <v>35</v>
      </c>
      <c r="H101" s="23" t="s">
        <v>66</v>
      </c>
      <c r="I101" s="21" t="str">
        <f>SetorNucleo[[#This Row],[Empresa]]&amp;SetorNucleo[[#This Row],[Setor]]</f>
        <v>AV1001FOR</v>
      </c>
      <c r="J101" s="21">
        <v>1001</v>
      </c>
    </row>
    <row r="102" spans="1:10">
      <c r="A102" s="21" t="s">
        <v>50</v>
      </c>
      <c r="B102" s="21" t="s">
        <v>226</v>
      </c>
      <c r="C102" s="21" t="s">
        <v>25</v>
      </c>
      <c r="D102" s="21" t="s">
        <v>227</v>
      </c>
      <c r="F102" s="21" t="s">
        <v>113</v>
      </c>
      <c r="G102" s="21" t="s">
        <v>53</v>
      </c>
      <c r="H102" s="23" t="s">
        <v>57</v>
      </c>
      <c r="I102" s="21" t="str">
        <f>SetorNucleo[[#This Row],[Empresa]]&amp;SetorNucleo[[#This Row],[Setor]]</f>
        <v>CATARINENSELDN</v>
      </c>
      <c r="J102" s="21" t="s">
        <v>55</v>
      </c>
    </row>
    <row r="103" spans="1:10">
      <c r="A103" s="21" t="s">
        <v>63</v>
      </c>
      <c r="B103" s="21" t="s">
        <v>228</v>
      </c>
      <c r="C103" s="21" t="s">
        <v>12</v>
      </c>
      <c r="D103" s="21" t="s">
        <v>229</v>
      </c>
      <c r="E103" s="21" t="s">
        <v>230</v>
      </c>
      <c r="F103" s="21" t="s">
        <v>89</v>
      </c>
      <c r="G103" s="21" t="s">
        <v>35</v>
      </c>
      <c r="H103" s="23" t="s">
        <v>66</v>
      </c>
      <c r="I103" s="21" t="str">
        <f>SetorNucleo[[#This Row],[Empresa]]&amp;SetorNucleo[[#This Row],[Setor]]</f>
        <v>AV1001GAS</v>
      </c>
      <c r="J103" s="21">
        <v>1001</v>
      </c>
    </row>
    <row r="104" spans="1:10">
      <c r="A104" s="21" t="s">
        <v>50</v>
      </c>
      <c r="B104" s="21" t="s">
        <v>231</v>
      </c>
      <c r="C104" s="21" t="s">
        <v>25</v>
      </c>
      <c r="D104" s="21" t="s">
        <v>232</v>
      </c>
      <c r="F104" s="21" t="s">
        <v>71</v>
      </c>
      <c r="G104" s="21" t="s">
        <v>53</v>
      </c>
      <c r="H104" s="23" t="s">
        <v>57</v>
      </c>
      <c r="I104" s="21" t="str">
        <f>SetorNucleo[[#This Row],[Empresa]]&amp;SetorNucleo[[#This Row],[Setor]]</f>
        <v>CATARINENSELGS</v>
      </c>
      <c r="J104" s="21" t="s">
        <v>55</v>
      </c>
    </row>
    <row r="105" spans="1:10">
      <c r="A105" s="21" t="s">
        <v>23</v>
      </c>
      <c r="B105" s="21" t="s">
        <v>233</v>
      </c>
      <c r="C105" s="21" t="s">
        <v>25</v>
      </c>
      <c r="D105" s="21" t="s">
        <v>234</v>
      </c>
      <c r="F105" s="21" t="s">
        <v>204</v>
      </c>
      <c r="G105" s="21" t="s">
        <v>16</v>
      </c>
      <c r="H105" s="23" t="s">
        <v>28</v>
      </c>
      <c r="I105" s="21" t="str">
        <f>SetorNucleo[[#This Row],[Empresa]]&amp;SetorNucleo[[#This Row],[Setor]]</f>
        <v>COMETALRN</v>
      </c>
      <c r="J105" s="21" t="s">
        <v>29</v>
      </c>
    </row>
    <row r="106" spans="1:10">
      <c r="A106" s="21" t="s">
        <v>63</v>
      </c>
      <c r="B106" s="21" t="s">
        <v>235</v>
      </c>
      <c r="C106" s="21" t="s">
        <v>12</v>
      </c>
      <c r="D106" s="21" t="s">
        <v>236</v>
      </c>
      <c r="E106" s="21" t="s">
        <v>237</v>
      </c>
      <c r="F106" s="21" t="s">
        <v>93</v>
      </c>
      <c r="G106" s="21" t="s">
        <v>35</v>
      </c>
      <c r="H106" s="23" t="s">
        <v>66</v>
      </c>
      <c r="I106" s="21" t="str">
        <f>SetorNucleo[[#This Row],[Empresa]]&amp;SetorNucleo[[#This Row],[Setor]]</f>
        <v>AV1001IMB</v>
      </c>
      <c r="J106" s="21">
        <v>1001</v>
      </c>
    </row>
    <row r="107" spans="1:10">
      <c r="A107" s="21" t="s">
        <v>23</v>
      </c>
      <c r="B107" s="21" t="s">
        <v>238</v>
      </c>
      <c r="C107" s="21" t="s">
        <v>12</v>
      </c>
      <c r="D107" s="21" t="s">
        <v>239</v>
      </c>
      <c r="E107" s="21" t="s">
        <v>240</v>
      </c>
      <c r="F107" s="21" t="s">
        <v>22</v>
      </c>
      <c r="G107" s="21" t="s">
        <v>16</v>
      </c>
      <c r="H107" s="23" t="s">
        <v>28</v>
      </c>
      <c r="I107" s="21" t="str">
        <f>SetorNucleo[[#This Row],[Empresa]]&amp;SetorNucleo[[#This Row],[Setor]]</f>
        <v>COMETAITB</v>
      </c>
      <c r="J107" s="21" t="s">
        <v>29</v>
      </c>
    </row>
    <row r="108" spans="1:10">
      <c r="A108" s="21" t="s">
        <v>63</v>
      </c>
      <c r="B108" s="21" t="s">
        <v>241</v>
      </c>
      <c r="C108" s="21" t="s">
        <v>25</v>
      </c>
      <c r="D108" s="21" t="s">
        <v>93</v>
      </c>
      <c r="F108" s="21" t="s">
        <v>93</v>
      </c>
      <c r="G108" s="21" t="s">
        <v>35</v>
      </c>
      <c r="H108" s="23" t="s">
        <v>66</v>
      </c>
      <c r="I108" s="21" t="str">
        <f>SetorNucleo[[#This Row],[Empresa]]&amp;SetorNucleo[[#This Row],[Setor]]</f>
        <v>AV1001MAC</v>
      </c>
      <c r="J108" s="21">
        <v>1001</v>
      </c>
    </row>
    <row r="109" spans="1:10">
      <c r="A109" s="21" t="s">
        <v>179</v>
      </c>
      <c r="B109" s="21" t="s">
        <v>241</v>
      </c>
      <c r="C109" s="21" t="s">
        <v>32</v>
      </c>
      <c r="D109" s="21" t="s">
        <v>242</v>
      </c>
      <c r="F109" s="21" t="s">
        <v>242</v>
      </c>
      <c r="G109" s="21" t="s">
        <v>35</v>
      </c>
      <c r="H109" s="21" t="s">
        <v>179</v>
      </c>
      <c r="I109" s="21" t="str">
        <f>SetorNucleo[[#This Row],[Empresa]]&amp;SetorNucleo[[#This Row],[Setor]]</f>
        <v>MACAENSEMAC</v>
      </c>
      <c r="J109" s="21" t="s">
        <v>180</v>
      </c>
    </row>
    <row r="110" spans="1:10">
      <c r="A110" s="21" t="s">
        <v>185</v>
      </c>
      <c r="B110" s="21" t="s">
        <v>241</v>
      </c>
      <c r="C110" s="21" t="s">
        <v>32</v>
      </c>
      <c r="D110" s="21" t="s">
        <v>242</v>
      </c>
      <c r="F110" s="21" t="s">
        <v>242</v>
      </c>
      <c r="G110" s="21" t="s">
        <v>35</v>
      </c>
      <c r="H110" s="21" t="s">
        <v>185</v>
      </c>
      <c r="I110" s="21" t="str">
        <f>SetorNucleo[[#This Row],[Empresa]]&amp;SetorNucleo[[#This Row],[Setor]]</f>
        <v>SITMAC</v>
      </c>
      <c r="J110" s="21" t="s">
        <v>185</v>
      </c>
    </row>
    <row r="111" spans="1:10">
      <c r="A111" s="21" t="s">
        <v>50</v>
      </c>
      <c r="B111" s="21" t="s">
        <v>243</v>
      </c>
      <c r="C111" s="21" t="s">
        <v>12</v>
      </c>
      <c r="D111" s="21" t="s">
        <v>193</v>
      </c>
      <c r="F111" s="21" t="s">
        <v>52</v>
      </c>
      <c r="G111" s="21" t="s">
        <v>53</v>
      </c>
      <c r="H111" s="23" t="s">
        <v>57</v>
      </c>
      <c r="I111" s="21" t="str">
        <f>SetorNucleo[[#This Row],[Empresa]]&amp;SetorNucleo[[#This Row],[Setor]]</f>
        <v>CATARINENSEITF</v>
      </c>
      <c r="J111" s="21" t="s">
        <v>55</v>
      </c>
    </row>
    <row r="112" spans="1:10">
      <c r="A112" s="21" t="s">
        <v>63</v>
      </c>
      <c r="B112" s="21" t="s">
        <v>244</v>
      </c>
      <c r="C112" s="21" t="s">
        <v>42</v>
      </c>
      <c r="D112" s="21" t="s">
        <v>93</v>
      </c>
      <c r="F112" s="21" t="s">
        <v>93</v>
      </c>
      <c r="G112" s="21" t="s">
        <v>35</v>
      </c>
      <c r="H112" s="23" t="s">
        <v>68</v>
      </c>
      <c r="I112" s="21" t="str">
        <f>SetorNucleo[[#This Row],[Empresa]]&amp;SetorNucleo[[#This Row],[Setor]]</f>
        <v>AV1001MAI</v>
      </c>
      <c r="J112" s="21">
        <v>1001</v>
      </c>
    </row>
    <row r="113" spans="1:10">
      <c r="A113" s="21" t="s">
        <v>30</v>
      </c>
      <c r="B113" s="21" t="s">
        <v>245</v>
      </c>
      <c r="C113" s="21" t="s">
        <v>32</v>
      </c>
      <c r="D113" s="21" t="s">
        <v>246</v>
      </c>
      <c r="F113" s="21" t="s">
        <v>34</v>
      </c>
      <c r="G113" s="21" t="s">
        <v>35</v>
      </c>
      <c r="H113" s="23" t="s">
        <v>30</v>
      </c>
      <c r="I113" s="21" t="str">
        <f>SetorNucleo[[#This Row],[Empresa]]&amp;SetorNucleo[[#This Row],[Setor]]</f>
        <v>AV1001 URBMAR</v>
      </c>
      <c r="J113" s="21" t="s">
        <v>36</v>
      </c>
    </row>
    <row r="114" spans="1:10">
      <c r="A114" s="21" t="s">
        <v>63</v>
      </c>
      <c r="B114" s="21" t="s">
        <v>247</v>
      </c>
      <c r="C114" s="21" t="s">
        <v>12</v>
      </c>
      <c r="D114" s="21" t="s">
        <v>248</v>
      </c>
      <c r="E114" s="21" t="s">
        <v>249</v>
      </c>
      <c r="F114" s="21" t="s">
        <v>93</v>
      </c>
      <c r="G114" s="21" t="s">
        <v>35</v>
      </c>
      <c r="H114" s="23" t="s">
        <v>66</v>
      </c>
      <c r="I114" s="21" t="str">
        <f>SetorNucleo[[#This Row],[Empresa]]&amp;SetorNucleo[[#This Row],[Setor]]</f>
        <v>AV1001ITK</v>
      </c>
      <c r="J114" s="21">
        <v>1001</v>
      </c>
    </row>
    <row r="115" spans="1:10">
      <c r="A115" s="21" t="s">
        <v>23</v>
      </c>
      <c r="B115" s="21" t="s">
        <v>250</v>
      </c>
      <c r="C115" s="21" t="s">
        <v>12</v>
      </c>
      <c r="D115" s="21" t="s">
        <v>251</v>
      </c>
      <c r="E115" s="21" t="s">
        <v>252</v>
      </c>
      <c r="F115" s="21" t="s">
        <v>40</v>
      </c>
      <c r="G115" s="21" t="s">
        <v>16</v>
      </c>
      <c r="H115" s="23" t="s">
        <v>28</v>
      </c>
      <c r="I115" s="21" t="str">
        <f>SetorNucleo[[#This Row],[Empresa]]&amp;SetorNucleo[[#This Row],[Setor]]</f>
        <v>COMETAJDA</v>
      </c>
      <c r="J115" s="21" t="s">
        <v>29</v>
      </c>
    </row>
    <row r="116" spans="1:10">
      <c r="A116" s="21" t="s">
        <v>23</v>
      </c>
      <c r="B116" s="21" t="s">
        <v>253</v>
      </c>
      <c r="C116" s="21" t="s">
        <v>12</v>
      </c>
      <c r="D116" s="21" t="s">
        <v>254</v>
      </c>
      <c r="E116" s="21" t="s">
        <v>255</v>
      </c>
      <c r="F116" s="21" t="s">
        <v>49</v>
      </c>
      <c r="G116" s="21" t="s">
        <v>16</v>
      </c>
      <c r="H116" s="23" t="s">
        <v>28</v>
      </c>
      <c r="I116" s="21" t="str">
        <f>SetorNucleo[[#This Row],[Empresa]]&amp;SetorNucleo[[#This Row],[Setor]]</f>
        <v>COMETAJDE</v>
      </c>
      <c r="J116" s="21" t="s">
        <v>29</v>
      </c>
    </row>
    <row r="117" spans="1:10">
      <c r="A117" s="21" t="s">
        <v>30</v>
      </c>
      <c r="B117" s="21" t="s">
        <v>256</v>
      </c>
      <c r="C117" s="21" t="s">
        <v>32</v>
      </c>
      <c r="D117" s="21" t="s">
        <v>257</v>
      </c>
      <c r="F117" s="21" t="s">
        <v>34</v>
      </c>
      <c r="G117" s="21" t="s">
        <v>35</v>
      </c>
      <c r="H117" s="23" t="s">
        <v>30</v>
      </c>
      <c r="I117" s="21" t="str">
        <f>SetorNucleo[[#This Row],[Empresa]]&amp;SetorNucleo[[#This Row],[Setor]]</f>
        <v>AV1001 URBMRS</v>
      </c>
      <c r="J117" s="21" t="s">
        <v>36</v>
      </c>
    </row>
    <row r="118" spans="1:10">
      <c r="A118" s="21" t="s">
        <v>23</v>
      </c>
      <c r="B118" s="21" t="s">
        <v>258</v>
      </c>
      <c r="C118" s="21" t="s">
        <v>12</v>
      </c>
      <c r="D118" s="21" t="s">
        <v>259</v>
      </c>
      <c r="E118" s="21" t="s">
        <v>260</v>
      </c>
      <c r="F118" s="21" t="s">
        <v>204</v>
      </c>
      <c r="G118" s="21" t="s">
        <v>16</v>
      </c>
      <c r="H118" s="23" t="s">
        <v>28</v>
      </c>
      <c r="I118" s="21" t="str">
        <f>SetorNucleo[[#This Row],[Empresa]]&amp;SetorNucleo[[#This Row],[Setor]]</f>
        <v>COMETAJFF</v>
      </c>
      <c r="J118" s="21" t="s">
        <v>29</v>
      </c>
    </row>
    <row r="119" spans="1:10">
      <c r="A119" s="21" t="s">
        <v>30</v>
      </c>
      <c r="B119" s="21" t="s">
        <v>261</v>
      </c>
      <c r="C119" s="21" t="s">
        <v>32</v>
      </c>
      <c r="D119" s="21" t="s">
        <v>262</v>
      </c>
      <c r="F119" s="21" t="s">
        <v>34</v>
      </c>
      <c r="G119" s="21" t="s">
        <v>35</v>
      </c>
      <c r="H119" s="23" t="s">
        <v>30</v>
      </c>
      <c r="I119" s="21" t="str">
        <f>SetorNucleo[[#This Row],[Empresa]]&amp;SetorNucleo[[#This Row],[Setor]]</f>
        <v>AV1001 URBNIT</v>
      </c>
      <c r="J119" s="21" t="s">
        <v>36</v>
      </c>
    </row>
    <row r="120" spans="1:10">
      <c r="A120" s="21" t="s">
        <v>63</v>
      </c>
      <c r="B120" s="21" t="s">
        <v>263</v>
      </c>
      <c r="C120" s="21" t="s">
        <v>12</v>
      </c>
      <c r="D120" s="21" t="s">
        <v>120</v>
      </c>
      <c r="F120" s="21" t="s">
        <v>120</v>
      </c>
      <c r="G120" s="21" t="s">
        <v>53</v>
      </c>
      <c r="H120" s="23" t="s">
        <v>66</v>
      </c>
      <c r="I120" s="21" t="str">
        <f>SetorNucleo[[#This Row],[Empresa]]&amp;SetorNucleo[[#This Row],[Setor]]</f>
        <v>AV1001JOF</v>
      </c>
      <c r="J120" s="21">
        <v>1001</v>
      </c>
    </row>
    <row r="121" spans="1:10">
      <c r="A121" s="21" t="s">
        <v>23</v>
      </c>
      <c r="B121" s="21" t="s">
        <v>264</v>
      </c>
      <c r="C121" s="21" t="s">
        <v>25</v>
      </c>
      <c r="D121" s="21" t="s">
        <v>265</v>
      </c>
      <c r="F121" s="21" t="s">
        <v>49</v>
      </c>
      <c r="G121" s="21" t="s">
        <v>16</v>
      </c>
      <c r="H121" s="23" t="s">
        <v>28</v>
      </c>
      <c r="I121" s="21" t="str">
        <f>SetorNucleo[[#This Row],[Empresa]]&amp;SetorNucleo[[#This Row],[Setor]]</f>
        <v>COMETAPCS</v>
      </c>
      <c r="J121" s="21" t="s">
        <v>29</v>
      </c>
    </row>
    <row r="122" spans="1:10">
      <c r="A122" s="21" t="s">
        <v>50</v>
      </c>
      <c r="B122" s="21" t="s">
        <v>263</v>
      </c>
      <c r="C122" s="21" t="s">
        <v>12</v>
      </c>
      <c r="D122" s="21" t="s">
        <v>120</v>
      </c>
      <c r="F122" s="21" t="s">
        <v>120</v>
      </c>
      <c r="G122" s="21" t="s">
        <v>53</v>
      </c>
      <c r="H122" s="23" t="s">
        <v>57</v>
      </c>
      <c r="I122" s="21" t="str">
        <f>SetorNucleo[[#This Row],[Empresa]]&amp;SetorNucleo[[#This Row],[Setor]]</f>
        <v>CATARINENSEJOF</v>
      </c>
      <c r="J122" s="21" t="s">
        <v>55</v>
      </c>
    </row>
    <row r="123" spans="1:10">
      <c r="A123" s="21" t="s">
        <v>23</v>
      </c>
      <c r="B123" s="21" t="s">
        <v>266</v>
      </c>
      <c r="C123" s="21" t="s">
        <v>12</v>
      </c>
      <c r="D123" s="21" t="s">
        <v>267</v>
      </c>
      <c r="E123" s="21" t="s">
        <v>268</v>
      </c>
      <c r="F123" s="21" t="s">
        <v>22</v>
      </c>
      <c r="G123" s="21" t="s">
        <v>16</v>
      </c>
      <c r="H123" s="23" t="s">
        <v>28</v>
      </c>
      <c r="I123" s="21" t="str">
        <f>SetorNucleo[[#This Row],[Empresa]]&amp;SetorNucleo[[#This Row],[Setor]]</f>
        <v>COMETAJTB</v>
      </c>
      <c r="J123" s="21" t="s">
        <v>29</v>
      </c>
    </row>
    <row r="124" spans="1:10">
      <c r="A124" s="24" t="s">
        <v>23</v>
      </c>
      <c r="B124" s="24" t="s">
        <v>269</v>
      </c>
      <c r="C124" s="21" t="s">
        <v>25</v>
      </c>
      <c r="D124" s="21" t="s">
        <v>270</v>
      </c>
      <c r="F124" s="21" t="s">
        <v>271</v>
      </c>
      <c r="G124" s="21" t="s">
        <v>16</v>
      </c>
      <c r="H124" s="23" t="s">
        <v>28</v>
      </c>
      <c r="I124" s="21" t="str">
        <f>SetorNucleo[[#This Row],[Empresa]]&amp;SetorNucleo[[#This Row],[Setor]]</f>
        <v>COMETAPGD</v>
      </c>
      <c r="J124" s="21" t="s">
        <v>29</v>
      </c>
    </row>
    <row r="125" spans="1:10">
      <c r="A125" s="21" t="s">
        <v>50</v>
      </c>
      <c r="B125" s="21" t="s">
        <v>272</v>
      </c>
      <c r="C125" s="21" t="s">
        <v>25</v>
      </c>
      <c r="D125" s="21" t="s">
        <v>273</v>
      </c>
      <c r="F125" s="21" t="s">
        <v>113</v>
      </c>
      <c r="G125" s="21" t="s">
        <v>53</v>
      </c>
      <c r="H125" s="23" t="s">
        <v>57</v>
      </c>
      <c r="I125" s="21" t="str">
        <f>SetorNucleo[[#This Row],[Empresa]]&amp;SetorNucleo[[#This Row],[Setor]]</f>
        <v>CATARINENSEPGR</v>
      </c>
      <c r="J125" s="21" t="s">
        <v>55</v>
      </c>
    </row>
    <row r="126" spans="1:10">
      <c r="A126" s="21" t="s">
        <v>50</v>
      </c>
      <c r="B126" s="21" t="s">
        <v>274</v>
      </c>
      <c r="C126" s="21" t="s">
        <v>25</v>
      </c>
      <c r="D126" s="21" t="s">
        <v>275</v>
      </c>
      <c r="F126" s="21" t="s">
        <v>71</v>
      </c>
      <c r="G126" s="21" t="s">
        <v>53</v>
      </c>
      <c r="H126" s="23" t="s">
        <v>57</v>
      </c>
      <c r="I126" s="21" t="str">
        <f>SetorNucleo[[#This Row],[Empresa]]&amp;SetorNucleo[[#This Row],[Setor]]</f>
        <v>CATARINENSEPOA</v>
      </c>
      <c r="J126" s="21" t="s">
        <v>55</v>
      </c>
    </row>
    <row r="127" spans="1:10">
      <c r="A127" s="24" t="s">
        <v>50</v>
      </c>
      <c r="B127" s="24" t="s">
        <v>276</v>
      </c>
      <c r="C127" s="21" t="s">
        <v>12</v>
      </c>
      <c r="D127" s="21" t="s">
        <v>232</v>
      </c>
      <c r="F127" s="21" t="s">
        <v>52</v>
      </c>
      <c r="G127" s="21" t="s">
        <v>53</v>
      </c>
      <c r="H127" s="23" t="s">
        <v>57</v>
      </c>
      <c r="I127" s="21" t="str">
        <f>SetorNucleo[[#This Row],[Empresa]]&amp;SetorNucleo[[#This Row],[Setor]]</f>
        <v>CATARINENSELGF</v>
      </c>
      <c r="J127" s="21" t="s">
        <v>55</v>
      </c>
    </row>
    <row r="128" spans="1:10">
      <c r="A128" s="21" t="s">
        <v>50</v>
      </c>
      <c r="B128" s="21" t="s">
        <v>277</v>
      </c>
      <c r="C128" s="21" t="s">
        <v>25</v>
      </c>
      <c r="D128" s="21" t="s">
        <v>273</v>
      </c>
      <c r="F128" s="21" t="s">
        <v>113</v>
      </c>
      <c r="G128" s="21" t="s">
        <v>53</v>
      </c>
      <c r="H128" s="23" t="s">
        <v>57</v>
      </c>
      <c r="I128" s="21" t="str">
        <f>SetorNucleo[[#This Row],[Empresa]]&amp;SetorNucleo[[#This Row],[Setor]]</f>
        <v>CATARINENSEPTG</v>
      </c>
      <c r="J128" s="21" t="s">
        <v>55</v>
      </c>
    </row>
    <row r="129" spans="1:10">
      <c r="A129" s="21" t="s">
        <v>30</v>
      </c>
      <c r="B129" s="21" t="s">
        <v>278</v>
      </c>
      <c r="C129" s="21" t="s">
        <v>32</v>
      </c>
      <c r="D129" s="21" t="s">
        <v>246</v>
      </c>
      <c r="F129" s="21" t="s">
        <v>34</v>
      </c>
      <c r="G129" s="21" t="s">
        <v>35</v>
      </c>
      <c r="H129" s="23" t="s">
        <v>30</v>
      </c>
      <c r="I129" s="21" t="str">
        <f>SetorNucleo[[#This Row],[Empresa]]&amp;SetorNucleo[[#This Row],[Setor]]</f>
        <v>AV1001 URBPUC</v>
      </c>
      <c r="J129" s="21" t="s">
        <v>36</v>
      </c>
    </row>
    <row r="130" spans="1:10">
      <c r="A130" s="21" t="s">
        <v>23</v>
      </c>
      <c r="B130" s="21" t="s">
        <v>279</v>
      </c>
      <c r="C130" s="21" t="s">
        <v>25</v>
      </c>
      <c r="D130" s="21" t="s">
        <v>280</v>
      </c>
      <c r="F130" s="21" t="s">
        <v>27</v>
      </c>
      <c r="G130" s="21" t="s">
        <v>16</v>
      </c>
      <c r="H130" s="23" t="s">
        <v>28</v>
      </c>
      <c r="I130" s="21" t="str">
        <f>SetorNucleo[[#This Row],[Empresa]]&amp;SetorNucleo[[#This Row],[Setor]]</f>
        <v>COMETARAO</v>
      </c>
      <c r="J130" s="21" t="s">
        <v>29</v>
      </c>
    </row>
    <row r="131" spans="1:10">
      <c r="A131" s="21" t="s">
        <v>182</v>
      </c>
      <c r="B131" s="21" t="s">
        <v>279</v>
      </c>
      <c r="C131" s="21" t="s">
        <v>25</v>
      </c>
      <c r="D131" s="21" t="s">
        <v>280</v>
      </c>
      <c r="F131" s="21" t="s">
        <v>27</v>
      </c>
      <c r="G131" s="21" t="s">
        <v>16</v>
      </c>
      <c r="H131" s="23" t="s">
        <v>183</v>
      </c>
      <c r="I131" s="21" t="str">
        <f>SetorNucleo[[#This Row],[Empresa]]&amp;SetorNucleo[[#This Row],[Setor]]</f>
        <v>RAPIDO RIBEIRAORAO</v>
      </c>
      <c r="J131" s="21" t="s">
        <v>184</v>
      </c>
    </row>
    <row r="132" spans="1:10">
      <c r="A132" s="21" t="s">
        <v>63</v>
      </c>
      <c r="B132" s="21" t="s">
        <v>281</v>
      </c>
      <c r="C132" s="21" t="s">
        <v>25</v>
      </c>
      <c r="D132" s="21" t="s">
        <v>282</v>
      </c>
      <c r="F132" s="21" t="s">
        <v>89</v>
      </c>
      <c r="G132" s="21" t="s">
        <v>35</v>
      </c>
      <c r="H132" s="23" t="s">
        <v>66</v>
      </c>
      <c r="I132" s="21" t="str">
        <f>SetorNucleo[[#This Row],[Empresa]]&amp;SetorNucleo[[#This Row],[Setor]]</f>
        <v>AV1001RCB</v>
      </c>
      <c r="J132" s="21">
        <v>1001</v>
      </c>
    </row>
    <row r="133" spans="1:10">
      <c r="A133" s="21" t="s">
        <v>179</v>
      </c>
      <c r="B133" s="21" t="s">
        <v>283</v>
      </c>
      <c r="C133" s="21" t="s">
        <v>32</v>
      </c>
      <c r="D133" s="21" t="s">
        <v>284</v>
      </c>
      <c r="F133" s="21" t="s">
        <v>242</v>
      </c>
      <c r="G133" s="21" t="s">
        <v>35</v>
      </c>
      <c r="H133" s="21" t="s">
        <v>179</v>
      </c>
      <c r="I133" s="21" t="str">
        <f>SetorNucleo[[#This Row],[Empresa]]&amp;SetorNucleo[[#This Row],[Setor]]</f>
        <v>MACAENSERDO</v>
      </c>
      <c r="J133" s="21" t="s">
        <v>180</v>
      </c>
    </row>
    <row r="134" spans="1:10">
      <c r="A134" s="21" t="s">
        <v>23</v>
      </c>
      <c r="B134" s="21" t="s">
        <v>285</v>
      </c>
      <c r="C134" s="21" t="s">
        <v>12</v>
      </c>
      <c r="D134" s="21" t="s">
        <v>286</v>
      </c>
      <c r="E134" s="21" t="s">
        <v>287</v>
      </c>
      <c r="F134" s="21" t="s">
        <v>22</v>
      </c>
      <c r="G134" s="21" t="s">
        <v>16</v>
      </c>
      <c r="H134" s="23" t="s">
        <v>28</v>
      </c>
      <c r="I134" s="21" t="str">
        <f>SetorNucleo[[#This Row],[Empresa]]&amp;SetorNucleo[[#This Row],[Setor]]</f>
        <v>COMETALUB</v>
      </c>
      <c r="J134" s="21" t="s">
        <v>29</v>
      </c>
    </row>
    <row r="135" spans="1:10">
      <c r="A135" s="21" t="s">
        <v>23</v>
      </c>
      <c r="B135" s="21" t="s">
        <v>288</v>
      </c>
      <c r="C135" s="21" t="s">
        <v>12</v>
      </c>
      <c r="D135" s="21" t="s">
        <v>289</v>
      </c>
      <c r="E135" s="21" t="s">
        <v>290</v>
      </c>
      <c r="F135" s="21" t="s">
        <v>49</v>
      </c>
      <c r="G135" s="21" t="s">
        <v>16</v>
      </c>
      <c r="H135" s="23" t="s">
        <v>28</v>
      </c>
      <c r="I135" s="21" t="str">
        <f>SetorNucleo[[#This Row],[Empresa]]&amp;SetorNucleo[[#This Row],[Setor]]</f>
        <v>COMETALUF</v>
      </c>
      <c r="J135" s="21" t="s">
        <v>29</v>
      </c>
    </row>
    <row r="136" spans="1:10">
      <c r="A136" s="21" t="s">
        <v>63</v>
      </c>
      <c r="B136" s="21" t="s">
        <v>291</v>
      </c>
      <c r="C136" s="21" t="s">
        <v>12</v>
      </c>
      <c r="D136" s="21" t="s">
        <v>93</v>
      </c>
      <c r="F136" s="21" t="s">
        <v>93</v>
      </c>
      <c r="G136" s="21" t="s">
        <v>35</v>
      </c>
      <c r="H136" s="23" t="s">
        <v>66</v>
      </c>
      <c r="I136" s="21" t="str">
        <f>SetorNucleo[[#This Row],[Empresa]]&amp;SetorNucleo[[#This Row],[Setor]]</f>
        <v>AV1001MAF</v>
      </c>
      <c r="J136" s="21">
        <v>1001</v>
      </c>
    </row>
    <row r="137" spans="1:10">
      <c r="A137" s="21" t="s">
        <v>63</v>
      </c>
      <c r="B137" s="21" t="s">
        <v>292</v>
      </c>
      <c r="C137" s="21" t="s">
        <v>12</v>
      </c>
      <c r="D137" s="21" t="s">
        <v>293</v>
      </c>
      <c r="E137" s="21" t="s">
        <v>294</v>
      </c>
      <c r="F137" s="21" t="s">
        <v>93</v>
      </c>
      <c r="G137" s="21" t="s">
        <v>35</v>
      </c>
      <c r="H137" s="23" t="s">
        <v>66</v>
      </c>
      <c r="I137" s="21" t="str">
        <f>SetorNucleo[[#This Row],[Empresa]]&amp;SetorNucleo[[#This Row],[Setor]]</f>
        <v>AV1001MHW</v>
      </c>
      <c r="J137" s="21">
        <v>1001</v>
      </c>
    </row>
    <row r="138" spans="1:10">
      <c r="A138" s="21" t="s">
        <v>63</v>
      </c>
      <c r="B138" s="21" t="s">
        <v>295</v>
      </c>
      <c r="C138" s="21" t="s">
        <v>25</v>
      </c>
      <c r="D138" s="21" t="s">
        <v>296</v>
      </c>
      <c r="F138" s="21" t="s">
        <v>89</v>
      </c>
      <c r="G138" s="21" t="s">
        <v>35</v>
      </c>
      <c r="H138" s="23" t="s">
        <v>66</v>
      </c>
      <c r="I138" s="21" t="str">
        <f>SetorNucleo[[#This Row],[Empresa]]&amp;SetorNucleo[[#This Row],[Setor]]</f>
        <v>AV1001RFB</v>
      </c>
      <c r="J138" s="21">
        <v>1001</v>
      </c>
    </row>
    <row r="139" spans="1:10">
      <c r="A139" s="21" t="s">
        <v>50</v>
      </c>
      <c r="B139" s="21" t="s">
        <v>297</v>
      </c>
      <c r="C139" s="21" t="s">
        <v>25</v>
      </c>
      <c r="D139" s="21" t="s">
        <v>298</v>
      </c>
      <c r="F139" s="21" t="s">
        <v>107</v>
      </c>
      <c r="G139" s="21" t="s">
        <v>16</v>
      </c>
      <c r="H139" s="23" t="s">
        <v>57</v>
      </c>
      <c r="I139" s="21" t="str">
        <f>SetorNucleo[[#This Row],[Empresa]]&amp;SetorNucleo[[#This Row],[Setor]]</f>
        <v>CATARINENSERGT</v>
      </c>
      <c r="J139" s="21" t="s">
        <v>55</v>
      </c>
    </row>
    <row r="140" spans="1:10">
      <c r="A140" s="21" t="s">
        <v>63</v>
      </c>
      <c r="B140" s="21" t="s">
        <v>35</v>
      </c>
      <c r="C140" s="21" t="s">
        <v>25</v>
      </c>
      <c r="D140" s="21" t="s">
        <v>89</v>
      </c>
      <c r="F140" s="21" t="s">
        <v>89</v>
      </c>
      <c r="G140" s="21" t="s">
        <v>35</v>
      </c>
      <c r="H140" s="23" t="s">
        <v>66</v>
      </c>
      <c r="I140" s="21" t="str">
        <f>SetorNucleo[[#This Row],[Empresa]]&amp;SetorNucleo[[#This Row],[Setor]]</f>
        <v>AV1001RIO</v>
      </c>
      <c r="J140" s="21">
        <v>1001</v>
      </c>
    </row>
    <row r="141" spans="1:10">
      <c r="A141" s="21" t="s">
        <v>50</v>
      </c>
      <c r="B141" s="21" t="s">
        <v>35</v>
      </c>
      <c r="C141" s="21" t="s">
        <v>25</v>
      </c>
      <c r="D141" s="21" t="s">
        <v>89</v>
      </c>
      <c r="F141" s="21" t="s">
        <v>107</v>
      </c>
      <c r="G141" s="21" t="s">
        <v>16</v>
      </c>
      <c r="H141" s="23" t="s">
        <v>57</v>
      </c>
      <c r="I141" s="21" t="str">
        <f>SetorNucleo[[#This Row],[Empresa]]&amp;SetorNucleo[[#This Row],[Setor]]</f>
        <v>CATARINENSERIO</v>
      </c>
      <c r="J141" s="21" t="s">
        <v>55</v>
      </c>
    </row>
    <row r="142" spans="1:10">
      <c r="A142" s="21" t="s">
        <v>50</v>
      </c>
      <c r="B142" s="21" t="s">
        <v>299</v>
      </c>
      <c r="C142" s="21" t="s">
        <v>25</v>
      </c>
      <c r="D142" s="21" t="s">
        <v>300</v>
      </c>
      <c r="F142" s="21" t="s">
        <v>52</v>
      </c>
      <c r="G142" s="21" t="s">
        <v>53</v>
      </c>
      <c r="H142" s="23" t="s">
        <v>57</v>
      </c>
      <c r="I142" s="21" t="str">
        <f>SetorNucleo[[#This Row],[Empresa]]&amp;SetorNucleo[[#This Row],[Setor]]</f>
        <v>CATARINENSERIS</v>
      </c>
      <c r="J142" s="21" t="s">
        <v>55</v>
      </c>
    </row>
    <row r="143" spans="1:10">
      <c r="A143" s="21" t="s">
        <v>63</v>
      </c>
      <c r="B143" s="21" t="s">
        <v>301</v>
      </c>
      <c r="C143" s="21" t="s">
        <v>12</v>
      </c>
      <c r="D143" s="21" t="s">
        <v>302</v>
      </c>
      <c r="E143" s="21" t="s">
        <v>303</v>
      </c>
      <c r="F143" s="21" t="s">
        <v>89</v>
      </c>
      <c r="G143" s="21" t="s">
        <v>35</v>
      </c>
      <c r="H143" s="23" t="s">
        <v>66</v>
      </c>
      <c r="I143" s="21" t="str">
        <f>SetorNucleo[[#This Row],[Empresa]]&amp;SetorNucleo[[#This Row],[Setor]]</f>
        <v>AV1001MIP</v>
      </c>
      <c r="J143" s="21">
        <v>1001</v>
      </c>
    </row>
    <row r="144" spans="1:10">
      <c r="A144" s="21" t="s">
        <v>63</v>
      </c>
      <c r="B144" s="21" t="s">
        <v>304</v>
      </c>
      <c r="C144" s="21" t="s">
        <v>42</v>
      </c>
      <c r="D144" s="21" t="s">
        <v>89</v>
      </c>
      <c r="F144" s="21" t="s">
        <v>89</v>
      </c>
      <c r="G144" s="21" t="s">
        <v>35</v>
      </c>
      <c r="H144" s="23" t="s">
        <v>68</v>
      </c>
      <c r="I144" s="21" t="str">
        <f>SetorNucleo[[#This Row],[Empresa]]&amp;SetorNucleo[[#This Row],[Setor]]</f>
        <v>AV1001RJI</v>
      </c>
      <c r="J144" s="21">
        <v>1001</v>
      </c>
    </row>
    <row r="145" spans="1:10">
      <c r="A145" s="21" t="s">
        <v>63</v>
      </c>
      <c r="B145" s="21" t="s">
        <v>305</v>
      </c>
      <c r="C145" s="21" t="s">
        <v>25</v>
      </c>
      <c r="D145" s="21" t="s">
        <v>89</v>
      </c>
      <c r="F145" s="21" t="s">
        <v>89</v>
      </c>
      <c r="G145" s="21" t="s">
        <v>35</v>
      </c>
      <c r="H145" s="23" t="s">
        <v>66</v>
      </c>
      <c r="I145" s="21" t="str">
        <f>SetorNucleo[[#This Row],[Empresa]]&amp;SetorNucleo[[#This Row],[Setor]]</f>
        <v>AV1001RJW</v>
      </c>
      <c r="J145" s="21">
        <v>1001</v>
      </c>
    </row>
    <row r="146" spans="1:10">
      <c r="A146" s="21" t="s">
        <v>63</v>
      </c>
      <c r="B146" s="21" t="s">
        <v>306</v>
      </c>
      <c r="C146" s="21" t="s">
        <v>12</v>
      </c>
      <c r="D146" s="21" t="s">
        <v>302</v>
      </c>
      <c r="E146" s="21" t="s">
        <v>307</v>
      </c>
      <c r="F146" s="21" t="s">
        <v>89</v>
      </c>
      <c r="G146" s="21" t="s">
        <v>35</v>
      </c>
      <c r="H146" s="23" t="s">
        <v>66</v>
      </c>
      <c r="I146" s="21" t="str">
        <f>SetorNucleo[[#This Row],[Empresa]]&amp;SetorNucleo[[#This Row],[Setor]]</f>
        <v>AV1001MIPE</v>
      </c>
      <c r="J146" s="21">
        <v>1001</v>
      </c>
    </row>
    <row r="147" spans="1:10">
      <c r="A147" s="21" t="s">
        <v>23</v>
      </c>
      <c r="B147" s="21" t="s">
        <v>308</v>
      </c>
      <c r="C147" s="21" t="s">
        <v>25</v>
      </c>
      <c r="D147" s="21" t="s">
        <v>280</v>
      </c>
      <c r="F147" s="21" t="s">
        <v>27</v>
      </c>
      <c r="G147" s="21" t="s">
        <v>16</v>
      </c>
      <c r="H147" s="23" t="s">
        <v>28</v>
      </c>
      <c r="I147" s="21" t="str">
        <f>SetorNucleo[[#This Row],[Empresa]]&amp;SetorNucleo[[#This Row],[Setor]]</f>
        <v>COMETARPW</v>
      </c>
      <c r="J147" s="21" t="s">
        <v>29</v>
      </c>
    </row>
    <row r="148" spans="1:10">
      <c r="A148" s="21" t="s">
        <v>50</v>
      </c>
      <c r="B148" s="21" t="s">
        <v>309</v>
      </c>
      <c r="C148" s="21" t="s">
        <v>42</v>
      </c>
      <c r="D148" s="21" t="s">
        <v>300</v>
      </c>
      <c r="F148" s="21" t="s">
        <v>52</v>
      </c>
      <c r="G148" s="21" t="s">
        <v>53</v>
      </c>
      <c r="H148" s="23" t="s">
        <v>54</v>
      </c>
      <c r="I148" s="21" t="str">
        <f>SetorNucleo[[#This Row],[Empresa]]&amp;SetorNucleo[[#This Row],[Setor]]</f>
        <v>CATARINENSERSI</v>
      </c>
      <c r="J148" s="21" t="s">
        <v>55</v>
      </c>
    </row>
    <row r="149" spans="1:10">
      <c r="A149" s="21" t="s">
        <v>63</v>
      </c>
      <c r="B149" s="21" t="s">
        <v>310</v>
      </c>
      <c r="C149" s="21" t="s">
        <v>25</v>
      </c>
      <c r="D149" s="21" t="s">
        <v>169</v>
      </c>
      <c r="F149" s="21" t="s">
        <v>89</v>
      </c>
      <c r="G149" s="21" t="s">
        <v>35</v>
      </c>
      <c r="H149" s="23" t="s">
        <v>66</v>
      </c>
      <c r="I149" s="21" t="str">
        <f>SetorNucleo[[#This Row],[Empresa]]&amp;SetorNucleo[[#This Row],[Setor]]</f>
        <v>AV1001SAO</v>
      </c>
      <c r="J149" s="21">
        <v>1001</v>
      </c>
    </row>
    <row r="150" spans="1:10">
      <c r="A150" s="21" t="s">
        <v>50</v>
      </c>
      <c r="B150" s="21" t="s">
        <v>310</v>
      </c>
      <c r="C150" s="21" t="s">
        <v>25</v>
      </c>
      <c r="D150" s="21" t="s">
        <v>169</v>
      </c>
      <c r="F150" s="21" t="s">
        <v>107</v>
      </c>
      <c r="G150" s="21" t="s">
        <v>16</v>
      </c>
      <c r="H150" s="23" t="s">
        <v>57</v>
      </c>
      <c r="I150" s="21" t="str">
        <f>SetorNucleo[[#This Row],[Empresa]]&amp;SetorNucleo[[#This Row],[Setor]]</f>
        <v>CATARINENSESAO</v>
      </c>
      <c r="J150" s="21" t="s">
        <v>55</v>
      </c>
    </row>
    <row r="151" spans="1:10">
      <c r="A151" s="21" t="s">
        <v>23</v>
      </c>
      <c r="B151" s="21" t="s">
        <v>310</v>
      </c>
      <c r="C151" s="21" t="s">
        <v>25</v>
      </c>
      <c r="D151" s="21" t="s">
        <v>169</v>
      </c>
      <c r="F151" s="21" t="s">
        <v>49</v>
      </c>
      <c r="G151" s="21" t="s">
        <v>16</v>
      </c>
      <c r="H151" s="23" t="s">
        <v>28</v>
      </c>
      <c r="I151" s="21" t="str">
        <f>SetorNucleo[[#This Row],[Empresa]]&amp;SetorNucleo[[#This Row],[Setor]]</f>
        <v>COMETASAO</v>
      </c>
      <c r="J151" s="21" t="s">
        <v>29</v>
      </c>
    </row>
    <row r="152" spans="1:10">
      <c r="A152" s="24" t="s">
        <v>114</v>
      </c>
      <c r="B152" s="21" t="s">
        <v>310</v>
      </c>
      <c r="C152" s="21" t="s">
        <v>25</v>
      </c>
      <c r="D152" s="21" t="s">
        <v>169</v>
      </c>
      <c r="F152" s="21" t="s">
        <v>107</v>
      </c>
      <c r="G152" s="21" t="s">
        <v>16</v>
      </c>
      <c r="H152" s="23" t="s">
        <v>115</v>
      </c>
      <c r="I152" s="21" t="str">
        <f>SetorNucleo[[#This Row],[Empresa]]&amp;SetorNucleo[[#This Row],[Setor]]</f>
        <v>EXPRESSO DO SULSAO</v>
      </c>
      <c r="J152" s="21" t="s">
        <v>116</v>
      </c>
    </row>
    <row r="153" spans="1:10">
      <c r="A153" s="21" t="s">
        <v>182</v>
      </c>
      <c r="B153" s="21" t="s">
        <v>310</v>
      </c>
      <c r="C153" s="21" t="s">
        <v>25</v>
      </c>
      <c r="D153" s="21" t="s">
        <v>280</v>
      </c>
      <c r="F153" s="21" t="s">
        <v>27</v>
      </c>
      <c r="G153" s="21" t="s">
        <v>16</v>
      </c>
      <c r="H153" s="23" t="s">
        <v>183</v>
      </c>
      <c r="I153" s="21" t="str">
        <f>SetorNucleo[[#This Row],[Empresa]]&amp;SetorNucleo[[#This Row],[Setor]]</f>
        <v>RAPIDO RIBEIRAOSAO</v>
      </c>
      <c r="J153" s="21" t="s">
        <v>184</v>
      </c>
    </row>
    <row r="154" spans="1:10">
      <c r="A154" s="21" t="s">
        <v>63</v>
      </c>
      <c r="B154" s="21" t="s">
        <v>261</v>
      </c>
      <c r="C154" s="21" t="s">
        <v>12</v>
      </c>
      <c r="D154" s="21" t="s">
        <v>311</v>
      </c>
      <c r="E154" t="s">
        <v>312</v>
      </c>
      <c r="F154" s="21" t="s">
        <v>89</v>
      </c>
      <c r="G154" s="21" t="s">
        <v>35</v>
      </c>
      <c r="H154" s="23" t="s">
        <v>66</v>
      </c>
      <c r="I154" s="21" t="str">
        <f>SetorNucleo[[#This Row],[Empresa]]&amp;SetorNucleo[[#This Row],[Setor]]</f>
        <v>AV1001NIT</v>
      </c>
      <c r="J154" s="21">
        <v>1001</v>
      </c>
    </row>
    <row r="155" spans="1:10">
      <c r="A155" s="24" t="s">
        <v>23</v>
      </c>
      <c r="B155" s="24" t="s">
        <v>313</v>
      </c>
      <c r="C155" s="21" t="s">
        <v>12</v>
      </c>
      <c r="D155" s="21" t="s">
        <v>314</v>
      </c>
      <c r="F155" s="21" t="s">
        <v>22</v>
      </c>
      <c r="G155" s="21" t="s">
        <v>16</v>
      </c>
      <c r="H155" s="23" t="s">
        <v>28</v>
      </c>
      <c r="I155" s="21" t="str">
        <f>SetorNucleo[[#This Row],[Empresa]]&amp;SetorNucleo[[#This Row],[Setor]]</f>
        <v>COMETANLF</v>
      </c>
      <c r="J155" s="21" t="s">
        <v>29</v>
      </c>
    </row>
    <row r="156" spans="1:10">
      <c r="A156" s="21" t="s">
        <v>63</v>
      </c>
      <c r="B156" s="21" t="s">
        <v>315</v>
      </c>
      <c r="C156" s="21" t="s">
        <v>12</v>
      </c>
      <c r="D156" s="21" t="s">
        <v>316</v>
      </c>
      <c r="E156" s="21" t="s">
        <v>317</v>
      </c>
      <c r="F156" s="21" t="s">
        <v>89</v>
      </c>
      <c r="G156" s="21" t="s">
        <v>35</v>
      </c>
      <c r="H156" s="23" t="s">
        <v>66</v>
      </c>
      <c r="I156" s="21" t="str">
        <f>SetorNucleo[[#This Row],[Empresa]]&amp;SetorNucleo[[#This Row],[Setor]]</f>
        <v>AV1001POL</v>
      </c>
      <c r="J156" s="21">
        <v>1001</v>
      </c>
    </row>
    <row r="157" spans="1:10">
      <c r="A157" s="21" t="s">
        <v>63</v>
      </c>
      <c r="B157" s="21" t="s">
        <v>318</v>
      </c>
      <c r="C157" s="21" t="s">
        <v>12</v>
      </c>
      <c r="D157" s="21" t="s">
        <v>319</v>
      </c>
      <c r="E157" s="21" t="s">
        <v>320</v>
      </c>
      <c r="F157" s="21" t="s">
        <v>89</v>
      </c>
      <c r="G157" s="21" t="s">
        <v>35</v>
      </c>
      <c r="H157" s="23" t="s">
        <v>66</v>
      </c>
      <c r="I157" s="21" t="str">
        <f>SetorNucleo[[#This Row],[Empresa]]&amp;SetorNucleo[[#This Row],[Setor]]</f>
        <v>AV1001RED</v>
      </c>
      <c r="J157" s="21">
        <v>1001</v>
      </c>
    </row>
    <row r="158" spans="1:10">
      <c r="A158" s="21" t="s">
        <v>50</v>
      </c>
      <c r="B158" s="21" t="s">
        <v>77</v>
      </c>
      <c r="C158" s="21" t="s">
        <v>25</v>
      </c>
      <c r="D158" s="21" t="s">
        <v>15</v>
      </c>
      <c r="F158" s="21" t="s">
        <v>15</v>
      </c>
      <c r="G158" s="21" t="s">
        <v>16</v>
      </c>
      <c r="H158" s="23" t="s">
        <v>57</v>
      </c>
      <c r="I158" s="21" t="str">
        <f>SetorNucleo[[#This Row],[Empresa]]&amp;SetorNucleo[[#This Row],[Setor]]</f>
        <v>CATARINENSESCB</v>
      </c>
      <c r="J158" s="21" t="s">
        <v>55</v>
      </c>
    </row>
    <row r="159" spans="1:10">
      <c r="A159" s="21" t="s">
        <v>23</v>
      </c>
      <c r="B159" s="21" t="s">
        <v>77</v>
      </c>
      <c r="C159" s="21" t="s">
        <v>25</v>
      </c>
      <c r="D159" s="21" t="s">
        <v>15</v>
      </c>
      <c r="F159" s="21" t="s">
        <v>15</v>
      </c>
      <c r="G159" s="21" t="s">
        <v>16</v>
      </c>
      <c r="H159" s="23" t="s">
        <v>28</v>
      </c>
      <c r="I159" s="21" t="str">
        <f>SetorNucleo[[#This Row],[Empresa]]&amp;SetorNucleo[[#This Row],[Setor]]</f>
        <v>COMETASCB</v>
      </c>
      <c r="J159" s="21" t="s">
        <v>29</v>
      </c>
    </row>
    <row r="160" spans="1:10">
      <c r="A160" s="21" t="s">
        <v>50</v>
      </c>
      <c r="B160" s="21" t="s">
        <v>321</v>
      </c>
      <c r="C160" s="21" t="s">
        <v>12</v>
      </c>
      <c r="D160" s="21" t="s">
        <v>322</v>
      </c>
      <c r="E160" s="21" t="s">
        <v>323</v>
      </c>
      <c r="F160" s="21" t="s">
        <v>71</v>
      </c>
      <c r="G160" s="21" t="s">
        <v>53</v>
      </c>
      <c r="H160" s="23" t="s">
        <v>57</v>
      </c>
      <c r="I160" s="21" t="str">
        <f>SetorNucleo[[#This Row],[Empresa]]&amp;SetorNucleo[[#This Row],[Setor]]</f>
        <v>CATARINENSEREF</v>
      </c>
      <c r="J160" s="21" t="s">
        <v>55</v>
      </c>
    </row>
    <row r="161" spans="1:10">
      <c r="A161" s="21" t="s">
        <v>63</v>
      </c>
      <c r="B161" s="21" t="s">
        <v>324</v>
      </c>
      <c r="C161" s="21" t="s">
        <v>12</v>
      </c>
      <c r="D161" s="21" t="s">
        <v>325</v>
      </c>
      <c r="E161" s="21" t="s">
        <v>326</v>
      </c>
      <c r="F161" s="21" t="s">
        <v>93</v>
      </c>
      <c r="G161" s="21" t="s">
        <v>35</v>
      </c>
      <c r="H161" s="23" t="s">
        <v>66</v>
      </c>
      <c r="I161" s="21" t="str">
        <f>SetorNucleo[[#This Row],[Empresa]]&amp;SetorNucleo[[#This Row],[Setor]]</f>
        <v>AV1001REL</v>
      </c>
      <c r="J161" s="21">
        <v>1001</v>
      </c>
    </row>
    <row r="162" spans="1:10">
      <c r="A162" s="21" t="s">
        <v>63</v>
      </c>
      <c r="B162" s="21" t="s">
        <v>327</v>
      </c>
      <c r="C162" s="21" t="s">
        <v>12</v>
      </c>
      <c r="D162" s="21" t="s">
        <v>89</v>
      </c>
      <c r="F162" s="21" t="s">
        <v>89</v>
      </c>
      <c r="G162" s="21" t="s">
        <v>35</v>
      </c>
      <c r="H162" s="23" t="s">
        <v>66</v>
      </c>
      <c r="I162" s="21" t="str">
        <f>SetorNucleo[[#This Row],[Empresa]]&amp;SetorNucleo[[#This Row],[Setor]]</f>
        <v>AV1001RJF</v>
      </c>
      <c r="J162" s="21">
        <v>1001</v>
      </c>
    </row>
    <row r="163" spans="1:10">
      <c r="A163" s="21" t="s">
        <v>63</v>
      </c>
      <c r="B163" s="21" t="s">
        <v>328</v>
      </c>
      <c r="C163" s="21" t="s">
        <v>12</v>
      </c>
      <c r="D163" s="21" t="s">
        <v>329</v>
      </c>
      <c r="E163" t="s">
        <v>330</v>
      </c>
      <c r="F163" s="21" t="s">
        <v>109</v>
      </c>
      <c r="G163" s="21" t="s">
        <v>35</v>
      </c>
      <c r="H163" s="23" t="s">
        <v>66</v>
      </c>
      <c r="I163" s="21" t="str">
        <f>SetorNucleo[[#This Row],[Empresa]]&amp;SetorNucleo[[#This Row],[Setor]]</f>
        <v>AV1001RMS</v>
      </c>
      <c r="J163" s="21">
        <v>1001</v>
      </c>
    </row>
    <row r="164" spans="1:10">
      <c r="A164" s="21" t="s">
        <v>23</v>
      </c>
      <c r="B164" s="21" t="s">
        <v>331</v>
      </c>
      <c r="C164" s="21" t="s">
        <v>12</v>
      </c>
      <c r="D164" s="21" t="s">
        <v>332</v>
      </c>
      <c r="E164" s="21" t="s">
        <v>333</v>
      </c>
      <c r="F164" s="21" t="s">
        <v>334</v>
      </c>
      <c r="G164" s="21" t="s">
        <v>16</v>
      </c>
      <c r="H164" s="23" t="s">
        <v>28</v>
      </c>
      <c r="I164" s="21" t="str">
        <f>SetorNucleo[[#This Row],[Empresa]]&amp;SetorNucleo[[#This Row],[Setor]]</f>
        <v>COMETASBC</v>
      </c>
      <c r="J164" s="21" t="s">
        <v>29</v>
      </c>
    </row>
    <row r="165" spans="1:10">
      <c r="A165" s="24" t="s">
        <v>23</v>
      </c>
      <c r="B165" s="24" t="s">
        <v>335</v>
      </c>
      <c r="C165" s="21" t="s">
        <v>12</v>
      </c>
      <c r="D165" s="21" t="s">
        <v>95</v>
      </c>
      <c r="F165" s="21" t="s">
        <v>15</v>
      </c>
      <c r="G165" s="21" t="s">
        <v>16</v>
      </c>
      <c r="H165" s="23" t="s">
        <v>28</v>
      </c>
      <c r="I165" s="21" t="str">
        <f>SetorNucleo[[#This Row],[Empresa]]&amp;SetorNucleo[[#This Row],[Setor]]</f>
        <v>COMETASCA</v>
      </c>
      <c r="J165" s="21" t="s">
        <v>29</v>
      </c>
    </row>
    <row r="166" spans="1:10">
      <c r="A166" s="21" t="s">
        <v>181</v>
      </c>
      <c r="B166" s="21" t="s">
        <v>335</v>
      </c>
      <c r="C166" s="21" t="s">
        <v>12</v>
      </c>
      <c r="D166" s="21" t="s">
        <v>13</v>
      </c>
      <c r="F166" s="21" t="s">
        <v>15</v>
      </c>
      <c r="G166" s="21" t="s">
        <v>16</v>
      </c>
      <c r="H166" s="23" t="s">
        <v>17</v>
      </c>
      <c r="I166" s="21" t="str">
        <f>SetorNucleo[[#This Row],[Empresa]]&amp;SetorNucleo[[#This Row],[Setor]]</f>
        <v>OPÇAO - SOROCABASCA</v>
      </c>
      <c r="J166" s="21" t="s">
        <v>18</v>
      </c>
    </row>
    <row r="167" spans="1:10">
      <c r="A167" s="21" t="s">
        <v>63</v>
      </c>
      <c r="B167" s="21" t="s">
        <v>336</v>
      </c>
      <c r="C167" s="21" t="s">
        <v>25</v>
      </c>
      <c r="D167" s="21" t="s">
        <v>337</v>
      </c>
      <c r="F167" s="21" t="s">
        <v>89</v>
      </c>
      <c r="G167" s="21" t="s">
        <v>35</v>
      </c>
      <c r="H167" s="23" t="s">
        <v>66</v>
      </c>
      <c r="I167" s="21" t="str">
        <f>SetorNucleo[[#This Row],[Empresa]]&amp;SetorNucleo[[#This Row],[Setor]]</f>
        <v>AV1001SFD</v>
      </c>
      <c r="J167" s="21">
        <v>1001</v>
      </c>
    </row>
    <row r="168" spans="1:10">
      <c r="A168" s="21" t="s">
        <v>23</v>
      </c>
      <c r="B168" s="21" t="s">
        <v>338</v>
      </c>
      <c r="C168" s="21" t="s">
        <v>25</v>
      </c>
      <c r="D168" s="21" t="s">
        <v>339</v>
      </c>
      <c r="F168" s="21" t="s">
        <v>27</v>
      </c>
      <c r="G168" s="21" t="s">
        <v>16</v>
      </c>
      <c r="H168" s="23" t="s">
        <v>28</v>
      </c>
      <c r="I168" s="21" t="str">
        <f>SetorNucleo[[#This Row],[Empresa]]&amp;SetorNucleo[[#This Row],[Setor]]</f>
        <v>COMETASJR</v>
      </c>
      <c r="J168" s="21" t="s">
        <v>29</v>
      </c>
    </row>
    <row r="169" spans="1:10">
      <c r="A169" s="21" t="s">
        <v>23</v>
      </c>
      <c r="B169" s="21" t="s">
        <v>340</v>
      </c>
      <c r="C169" s="21" t="s">
        <v>25</v>
      </c>
      <c r="D169" s="21" t="s">
        <v>339</v>
      </c>
      <c r="F169" s="21" t="s">
        <v>27</v>
      </c>
      <c r="G169" s="21" t="s">
        <v>16</v>
      </c>
      <c r="H169" s="23" t="s">
        <v>28</v>
      </c>
      <c r="I169" s="21" t="str">
        <f>SetorNucleo[[#This Row],[Empresa]]&amp;SetorNucleo[[#This Row],[Setor]]</f>
        <v>COMETASJW</v>
      </c>
      <c r="J169" s="21" t="s">
        <v>29</v>
      </c>
    </row>
    <row r="170" spans="1:10">
      <c r="A170" s="21" t="s">
        <v>181</v>
      </c>
      <c r="B170" s="21" t="s">
        <v>80</v>
      </c>
      <c r="C170" s="21" t="s">
        <v>12</v>
      </c>
      <c r="D170" s="21" t="s">
        <v>81</v>
      </c>
      <c r="F170" s="21" t="s">
        <v>15</v>
      </c>
      <c r="G170" s="21" t="s">
        <v>16</v>
      </c>
      <c r="H170" s="23" t="s">
        <v>17</v>
      </c>
      <c r="I170" s="21" t="str">
        <f>SetorNucleo[[#This Row],[Empresa]]&amp;SetorNucleo[[#This Row],[Setor]]</f>
        <v>OPÇAO - SOROCABASCV</v>
      </c>
      <c r="J170" s="21" t="s">
        <v>18</v>
      </c>
    </row>
    <row r="171" spans="1:10">
      <c r="A171" s="21" t="s">
        <v>23</v>
      </c>
      <c r="B171" s="21" t="s">
        <v>341</v>
      </c>
      <c r="C171" s="21" t="s">
        <v>25</v>
      </c>
      <c r="D171" s="21" t="s">
        <v>342</v>
      </c>
      <c r="F171" s="21" t="s">
        <v>271</v>
      </c>
      <c r="G171" s="21" t="s">
        <v>16</v>
      </c>
      <c r="H171" s="23" t="s">
        <v>28</v>
      </c>
      <c r="I171" s="21" t="str">
        <f>SetorNucleo[[#This Row],[Empresa]]&amp;SetorNucleo[[#This Row],[Setor]]</f>
        <v>COMETASNT</v>
      </c>
      <c r="J171" s="21" t="s">
        <v>29</v>
      </c>
    </row>
    <row r="172" spans="1:10">
      <c r="A172" s="21" t="s">
        <v>23</v>
      </c>
      <c r="B172" s="21" t="s">
        <v>343</v>
      </c>
      <c r="C172" s="21" t="s">
        <v>12</v>
      </c>
      <c r="D172" s="21" t="s">
        <v>344</v>
      </c>
      <c r="E172" s="21" t="s">
        <v>345</v>
      </c>
      <c r="F172" s="21" t="s">
        <v>49</v>
      </c>
      <c r="G172" s="21" t="s">
        <v>16</v>
      </c>
      <c r="H172" s="23" t="s">
        <v>28</v>
      </c>
      <c r="I172" s="21" t="str">
        <f>SetorNucleo[[#This Row],[Empresa]]&amp;SetorNucleo[[#This Row],[Setor]]</f>
        <v>COMETASEN</v>
      </c>
      <c r="J172" s="21" t="s">
        <v>29</v>
      </c>
    </row>
    <row r="173" spans="1:10">
      <c r="A173" s="21" t="s">
        <v>23</v>
      </c>
      <c r="B173" s="21" t="s">
        <v>346</v>
      </c>
      <c r="C173" s="21" t="s">
        <v>12</v>
      </c>
      <c r="D173" s="21" t="s">
        <v>347</v>
      </c>
      <c r="E173" s="21" t="s">
        <v>348</v>
      </c>
      <c r="F173" s="21" t="s">
        <v>271</v>
      </c>
      <c r="G173" s="21" t="s">
        <v>16</v>
      </c>
      <c r="H173" s="23" t="s">
        <v>28</v>
      </c>
      <c r="I173" s="21" t="str">
        <f>SetorNucleo[[#This Row],[Empresa]]&amp;SetorNucleo[[#This Row],[Setor]]</f>
        <v>COMETASNF</v>
      </c>
      <c r="J173" s="21" t="s">
        <v>29</v>
      </c>
    </row>
    <row r="174" spans="1:10">
      <c r="A174" s="21" t="s">
        <v>23</v>
      </c>
      <c r="B174" s="21" t="s">
        <v>349</v>
      </c>
      <c r="C174" s="21" t="s">
        <v>12</v>
      </c>
      <c r="D174" s="21" t="s">
        <v>350</v>
      </c>
      <c r="E174" s="21" t="s">
        <v>351</v>
      </c>
      <c r="F174" s="21" t="s">
        <v>49</v>
      </c>
      <c r="G174" s="21" t="s">
        <v>16</v>
      </c>
      <c r="H174" s="23" t="s">
        <v>28</v>
      </c>
      <c r="I174" s="21" t="str">
        <f>SetorNucleo[[#This Row],[Empresa]]&amp;SetorNucleo[[#This Row],[Setor]]</f>
        <v>COMETASPA</v>
      </c>
      <c r="J174" s="21" t="s">
        <v>29</v>
      </c>
    </row>
    <row r="175" spans="1:10">
      <c r="A175" s="21" t="s">
        <v>23</v>
      </c>
      <c r="B175" s="21" t="s">
        <v>352</v>
      </c>
      <c r="C175" s="21" t="s">
        <v>12</v>
      </c>
      <c r="D175" s="21" t="s">
        <v>353</v>
      </c>
      <c r="E175" s="21" t="s">
        <v>354</v>
      </c>
      <c r="F175" s="21" t="s">
        <v>49</v>
      </c>
      <c r="G175" s="21" t="s">
        <v>16</v>
      </c>
      <c r="H175" s="23" t="s">
        <v>28</v>
      </c>
      <c r="I175" s="21" t="str">
        <f>SetorNucleo[[#This Row],[Empresa]]&amp;SetorNucleo[[#This Row],[Setor]]</f>
        <v>COMETASPG</v>
      </c>
      <c r="J175" s="21" t="s">
        <v>29</v>
      </c>
    </row>
    <row r="176" spans="1:10">
      <c r="A176" s="21" t="s">
        <v>23</v>
      </c>
      <c r="B176" s="21" t="s">
        <v>355</v>
      </c>
      <c r="C176" s="21" t="s">
        <v>42</v>
      </c>
      <c r="D176" s="21" t="s">
        <v>169</v>
      </c>
      <c r="F176" s="21" t="s">
        <v>49</v>
      </c>
      <c r="G176" s="21" t="s">
        <v>16</v>
      </c>
      <c r="H176" s="23" t="s">
        <v>43</v>
      </c>
      <c r="I176" s="21" t="str">
        <f>SetorNucleo[[#This Row],[Empresa]]&amp;SetorNucleo[[#This Row],[Setor]]</f>
        <v>COMETASPI</v>
      </c>
      <c r="J176" s="21" t="s">
        <v>29</v>
      </c>
    </row>
    <row r="177" spans="1:10">
      <c r="A177" s="21" t="s">
        <v>63</v>
      </c>
      <c r="B177" s="21" t="s">
        <v>356</v>
      </c>
      <c r="C177" s="21" t="s">
        <v>25</v>
      </c>
      <c r="D177" s="21" t="s">
        <v>169</v>
      </c>
      <c r="F177" s="21" t="s">
        <v>89</v>
      </c>
      <c r="G177" s="21" t="s">
        <v>35</v>
      </c>
      <c r="H177" s="23" t="s">
        <v>66</v>
      </c>
      <c r="I177" s="21" t="str">
        <f>SetorNucleo[[#This Row],[Empresa]]&amp;SetorNucleo[[#This Row],[Setor]]</f>
        <v>AV1001SPW</v>
      </c>
      <c r="J177" s="21">
        <v>1001</v>
      </c>
    </row>
    <row r="178" spans="1:10">
      <c r="A178" s="21" t="s">
        <v>50</v>
      </c>
      <c r="B178" s="21" t="s">
        <v>356</v>
      </c>
      <c r="C178" s="21" t="s">
        <v>25</v>
      </c>
      <c r="D178" s="21" t="s">
        <v>169</v>
      </c>
      <c r="F178" s="21" t="s">
        <v>107</v>
      </c>
      <c r="G178" s="21" t="s">
        <v>16</v>
      </c>
      <c r="H178" s="23" t="s">
        <v>57</v>
      </c>
      <c r="I178" s="21" t="str">
        <f>SetorNucleo[[#This Row],[Empresa]]&amp;SetorNucleo[[#This Row],[Setor]]</f>
        <v>CATARINENSESPW</v>
      </c>
      <c r="J178" s="21" t="s">
        <v>55</v>
      </c>
    </row>
    <row r="179" spans="1:10">
      <c r="A179" s="21" t="s">
        <v>23</v>
      </c>
      <c r="B179" s="21" t="s">
        <v>357</v>
      </c>
      <c r="C179" s="21" t="s">
        <v>42</v>
      </c>
      <c r="D179" s="21" t="s">
        <v>342</v>
      </c>
      <c r="F179" s="21" t="s">
        <v>271</v>
      </c>
      <c r="G179" s="21" t="s">
        <v>16</v>
      </c>
      <c r="H179" s="23" t="s">
        <v>43</v>
      </c>
      <c r="I179" s="21" t="str">
        <f>SetorNucleo[[#This Row],[Empresa]]&amp;SetorNucleo[[#This Row],[Setor]]</f>
        <v>COMETASTI</v>
      </c>
      <c r="J179" s="21" t="s">
        <v>29</v>
      </c>
    </row>
    <row r="180" spans="1:10">
      <c r="A180" s="21" t="s">
        <v>23</v>
      </c>
      <c r="B180" s="21" t="s">
        <v>358</v>
      </c>
      <c r="C180" s="21" t="s">
        <v>12</v>
      </c>
      <c r="D180" s="21" t="s">
        <v>359</v>
      </c>
      <c r="E180" s="21" t="s">
        <v>360</v>
      </c>
      <c r="F180" s="21" t="s">
        <v>22</v>
      </c>
      <c r="G180" s="21" t="s">
        <v>16</v>
      </c>
      <c r="H180" s="23" t="s">
        <v>17</v>
      </c>
      <c r="I180" s="21" t="str">
        <f>SetorNucleo[[#This Row],[Empresa]]&amp;SetorNucleo[[#This Row],[Setor]]</f>
        <v>COMETASTL</v>
      </c>
      <c r="J180" s="21" t="s">
        <v>29</v>
      </c>
    </row>
    <row r="181" spans="1:10">
      <c r="A181" s="21" t="s">
        <v>50</v>
      </c>
      <c r="B181" s="21" t="s">
        <v>361</v>
      </c>
      <c r="C181" s="21" t="s">
        <v>25</v>
      </c>
      <c r="D181" s="21" t="s">
        <v>362</v>
      </c>
      <c r="F181" s="21" t="s">
        <v>71</v>
      </c>
      <c r="G181" s="21" t="s">
        <v>53</v>
      </c>
      <c r="H181" s="23" t="s">
        <v>57</v>
      </c>
      <c r="I181" s="21" t="str">
        <f>SetorNucleo[[#This Row],[Empresa]]&amp;SetorNucleo[[#This Row],[Setor]]</f>
        <v>CATARINENSESTM</v>
      </c>
      <c r="J181" s="21" t="s">
        <v>55</v>
      </c>
    </row>
    <row r="182" spans="1:10">
      <c r="A182" s="24" t="s">
        <v>23</v>
      </c>
      <c r="B182" s="24" t="s">
        <v>363</v>
      </c>
      <c r="C182" s="21" t="s">
        <v>25</v>
      </c>
      <c r="D182" s="21" t="s">
        <v>364</v>
      </c>
      <c r="F182" s="21" t="s">
        <v>271</v>
      </c>
      <c r="G182" s="21" t="s">
        <v>16</v>
      </c>
      <c r="H182" s="23" t="s">
        <v>28</v>
      </c>
      <c r="I182" s="21" t="str">
        <f>SetorNucleo[[#This Row],[Empresa]]&amp;SetorNucleo[[#This Row],[Setor]]</f>
        <v>COMETASVC</v>
      </c>
      <c r="J182" s="21" t="s">
        <v>29</v>
      </c>
    </row>
    <row r="183" spans="1:10">
      <c r="A183" s="21" t="s">
        <v>50</v>
      </c>
      <c r="B183" s="21" t="s">
        <v>365</v>
      </c>
      <c r="C183" s="21" t="s">
        <v>25</v>
      </c>
      <c r="D183" s="21" t="s">
        <v>366</v>
      </c>
      <c r="F183" s="21" t="s">
        <v>52</v>
      </c>
      <c r="G183" s="21" t="s">
        <v>53</v>
      </c>
      <c r="H183" s="23" t="s">
        <v>57</v>
      </c>
      <c r="I183" s="21" t="str">
        <f>SetorNucleo[[#This Row],[Empresa]]&amp;SetorNucleo[[#This Row],[Setor]]</f>
        <v>CATARINENSETAI</v>
      </c>
      <c r="J183" s="21" t="s">
        <v>55</v>
      </c>
    </row>
    <row r="184" spans="1:10">
      <c r="A184" s="21" t="s">
        <v>63</v>
      </c>
      <c r="B184" s="21" t="s">
        <v>367</v>
      </c>
      <c r="C184" s="21" t="s">
        <v>12</v>
      </c>
      <c r="D184" s="21" t="s">
        <v>368</v>
      </c>
      <c r="E184" s="21" t="s">
        <v>369</v>
      </c>
      <c r="F184" s="21" t="s">
        <v>89</v>
      </c>
      <c r="G184" s="21" t="s">
        <v>35</v>
      </c>
      <c r="H184" s="23" t="s">
        <v>66</v>
      </c>
      <c r="I184" s="21" t="str">
        <f>SetorNucleo[[#This Row],[Empresa]]&amp;SetorNucleo[[#This Row],[Setor]]</f>
        <v>AV1001TDC</v>
      </c>
      <c r="J184" s="21">
        <v>1001</v>
      </c>
    </row>
    <row r="185" spans="1:10">
      <c r="A185" s="21" t="s">
        <v>23</v>
      </c>
      <c r="B185" s="21" t="s">
        <v>370</v>
      </c>
      <c r="C185" s="21" t="s">
        <v>12</v>
      </c>
      <c r="D185" s="21" t="s">
        <v>371</v>
      </c>
      <c r="E185" s="21" t="s">
        <v>372</v>
      </c>
      <c r="F185" s="21" t="s">
        <v>49</v>
      </c>
      <c r="G185" s="21" t="s">
        <v>16</v>
      </c>
      <c r="H185" s="23" t="s">
        <v>28</v>
      </c>
      <c r="I185" s="21" t="str">
        <f>SetorNucleo[[#This Row],[Empresa]]&amp;SetorNucleo[[#This Row],[Setor]]</f>
        <v>COMETATEC</v>
      </c>
      <c r="J185" s="21" t="s">
        <v>29</v>
      </c>
    </row>
    <row r="186" spans="1:10">
      <c r="A186" s="21" t="s">
        <v>63</v>
      </c>
      <c r="B186" s="21" t="s">
        <v>373</v>
      </c>
      <c r="C186" s="21" t="s">
        <v>12</v>
      </c>
      <c r="D186" s="21" t="s">
        <v>374</v>
      </c>
      <c r="E186" s="21" t="s">
        <v>375</v>
      </c>
      <c r="F186" s="21" t="s">
        <v>93</v>
      </c>
      <c r="G186" s="21" t="s">
        <v>35</v>
      </c>
      <c r="H186" s="23" t="s">
        <v>66</v>
      </c>
      <c r="I186" s="21" t="str">
        <f>SetorNucleo[[#This Row],[Empresa]]&amp;SetorNucleo[[#This Row],[Setor]]</f>
        <v>AV1001TGR</v>
      </c>
      <c r="J186" s="21">
        <v>1001</v>
      </c>
    </row>
    <row r="187" spans="1:10">
      <c r="A187" s="21" t="s">
        <v>63</v>
      </c>
      <c r="B187" s="21" t="s">
        <v>376</v>
      </c>
      <c r="C187" s="21" t="s">
        <v>12</v>
      </c>
      <c r="D187" s="21" t="s">
        <v>377</v>
      </c>
      <c r="E187" s="21" t="s">
        <v>378</v>
      </c>
      <c r="F187" s="21" t="s">
        <v>89</v>
      </c>
      <c r="G187" s="21" t="s">
        <v>35</v>
      </c>
      <c r="H187" s="23" t="s">
        <v>66</v>
      </c>
      <c r="I187" s="21" t="str">
        <f>SetorNucleo[[#This Row],[Empresa]]&amp;SetorNucleo[[#This Row],[Setor]]</f>
        <v>AV1001TOY</v>
      </c>
      <c r="J187" s="21">
        <v>1001</v>
      </c>
    </row>
    <row r="188" spans="1:10">
      <c r="A188" s="21" t="s">
        <v>63</v>
      </c>
      <c r="B188" s="21" t="s">
        <v>379</v>
      </c>
      <c r="C188" s="21" t="s">
        <v>12</v>
      </c>
      <c r="D188" s="21" t="s">
        <v>380</v>
      </c>
      <c r="E188" s="21" t="s">
        <v>381</v>
      </c>
      <c r="F188" s="21" t="s">
        <v>93</v>
      </c>
      <c r="G188" s="21" t="s">
        <v>35</v>
      </c>
      <c r="H188" s="23" t="s">
        <v>66</v>
      </c>
      <c r="I188" s="21" t="str">
        <f>SetorNucleo[[#This Row],[Empresa]]&amp;SetorNucleo[[#This Row],[Setor]]</f>
        <v>AV1001VAL</v>
      </c>
      <c r="J188" s="21">
        <v>1001</v>
      </c>
    </row>
    <row r="189" spans="1:10">
      <c r="A189" s="21" t="s">
        <v>63</v>
      </c>
      <c r="B189" s="21" t="s">
        <v>382</v>
      </c>
      <c r="C189" s="21" t="s">
        <v>12</v>
      </c>
      <c r="D189" s="21" t="s">
        <v>383</v>
      </c>
      <c r="E189" s="21" t="s">
        <v>384</v>
      </c>
      <c r="F189" s="21" t="s">
        <v>109</v>
      </c>
      <c r="G189" s="21" t="s">
        <v>35</v>
      </c>
      <c r="H189" s="23" t="s">
        <v>66</v>
      </c>
      <c r="I189" s="21" t="str">
        <f>SetorNucleo[[#This Row],[Empresa]]&amp;SetorNucleo[[#This Row],[Setor]]</f>
        <v>AV1001VBR</v>
      </c>
      <c r="J189" s="21">
        <v>1001</v>
      </c>
    </row>
    <row r="190" spans="1:10">
      <c r="A190" s="21" t="s">
        <v>23</v>
      </c>
      <c r="B190" s="21" t="s">
        <v>385</v>
      </c>
      <c r="C190" s="21" t="s">
        <v>25</v>
      </c>
      <c r="D190" s="21" t="s">
        <v>386</v>
      </c>
      <c r="F190" s="21" t="s">
        <v>204</v>
      </c>
      <c r="G190" s="21" t="s">
        <v>16</v>
      </c>
      <c r="H190" s="23" t="s">
        <v>28</v>
      </c>
      <c r="I190" s="21" t="str">
        <f>SetorNucleo[[#This Row],[Empresa]]&amp;SetorNucleo[[#This Row],[Setor]]</f>
        <v>COMETAVRD</v>
      </c>
      <c r="J190" s="21" t="s">
        <v>29</v>
      </c>
    </row>
    <row r="191" spans="1:10">
      <c r="A191" s="21" t="s">
        <v>63</v>
      </c>
      <c r="B191" s="21" t="s">
        <v>387</v>
      </c>
      <c r="C191" s="21" t="s">
        <v>12</v>
      </c>
      <c r="D191" s="21" t="s">
        <v>388</v>
      </c>
      <c r="E191" s="21" t="s">
        <v>389</v>
      </c>
      <c r="F191" s="21" t="s">
        <v>89</v>
      </c>
      <c r="G191" s="21" t="s">
        <v>35</v>
      </c>
      <c r="H191" s="23" t="s">
        <v>66</v>
      </c>
      <c r="I191" s="21" t="str">
        <f>SetorNucleo[[#This Row],[Empresa]]&amp;SetorNucleo[[#This Row],[Setor]]</f>
        <v>AV1001VVA</v>
      </c>
      <c r="J191" s="21">
        <v>1001</v>
      </c>
    </row>
    <row r="192" spans="1:10">
      <c r="A192" s="21" t="s">
        <v>23</v>
      </c>
      <c r="B192" s="21" t="s">
        <v>390</v>
      </c>
      <c r="C192" s="21" t="s">
        <v>12</v>
      </c>
      <c r="D192" s="21" t="s">
        <v>391</v>
      </c>
      <c r="E192" s="21" t="s">
        <v>392</v>
      </c>
      <c r="F192" s="21" t="s">
        <v>49</v>
      </c>
      <c r="G192" s="21" t="s">
        <v>16</v>
      </c>
      <c r="H192" s="23" t="s">
        <v>28</v>
      </c>
      <c r="I192" s="21" t="str">
        <f>SetorNucleo[[#This Row],[Empresa]]&amp;SetorNucleo[[#This Row],[Setor]]</f>
        <v>COMETACIM</v>
      </c>
      <c r="J192" s="21" t="s">
        <v>29</v>
      </c>
    </row>
    <row r="193" spans="1:10">
      <c r="A193" s="21" t="s">
        <v>23</v>
      </c>
      <c r="B193" s="21" t="s">
        <v>393</v>
      </c>
      <c r="C193" s="21" t="s">
        <v>12</v>
      </c>
      <c r="D193" s="21" t="s">
        <v>394</v>
      </c>
      <c r="E193" s="21" t="s">
        <v>395</v>
      </c>
      <c r="F193" s="21" t="s">
        <v>22</v>
      </c>
      <c r="G193" s="21" t="s">
        <v>16</v>
      </c>
      <c r="H193" s="23" t="s">
        <v>28</v>
      </c>
      <c r="I193" s="21" t="str">
        <f>SetorNucleo[[#This Row],[Empresa]]&amp;SetorNucleo[[#This Row],[Setor]]</f>
        <v>COMETABYP</v>
      </c>
      <c r="J193" s="21" t="s">
        <v>29</v>
      </c>
    </row>
    <row r="194" spans="1:10">
      <c r="A194" s="21" t="s">
        <v>23</v>
      </c>
      <c r="B194" s="21" t="s">
        <v>396</v>
      </c>
      <c r="C194" s="21" t="s">
        <v>25</v>
      </c>
      <c r="D194" s="21" t="s">
        <v>397</v>
      </c>
      <c r="F194" s="21" t="s">
        <v>49</v>
      </c>
      <c r="G194" s="21" t="s">
        <v>16</v>
      </c>
      <c r="H194" s="23" t="s">
        <v>28</v>
      </c>
      <c r="I194" s="21" t="str">
        <f>SetorNucleo[[#This Row],[Empresa]]&amp;SetorNucleo[[#This Row],[Setor]]</f>
        <v>COMETADIR</v>
      </c>
      <c r="J194" s="21" t="s">
        <v>29</v>
      </c>
    </row>
    <row r="195" spans="1:10">
      <c r="A195" s="21" t="s">
        <v>10</v>
      </c>
      <c r="B195" s="21" t="s">
        <v>358</v>
      </c>
      <c r="C195" s="21" t="s">
        <v>12</v>
      </c>
      <c r="D195" s="21" t="s">
        <v>359</v>
      </c>
      <c r="E195" s="21" t="s">
        <v>360</v>
      </c>
      <c r="F195" s="21" t="s">
        <v>22</v>
      </c>
      <c r="G195" s="21" t="s">
        <v>16</v>
      </c>
      <c r="H195" s="23" t="s">
        <v>17</v>
      </c>
      <c r="I195" s="21" t="str">
        <f>SetorNucleo[[#This Row],[Empresa]]&amp;SetorNucleo[[#This Row],[Setor]]</f>
        <v>OPÇAOSTL</v>
      </c>
      <c r="J195" s="21" t="s">
        <v>29</v>
      </c>
    </row>
    <row r="196" spans="1:10">
      <c r="A196" s="21" t="s">
        <v>63</v>
      </c>
      <c r="B196" s="21" t="s">
        <v>166</v>
      </c>
      <c r="C196" s="21" t="s">
        <v>32</v>
      </c>
      <c r="D196" s="21" t="s">
        <v>153</v>
      </c>
      <c r="F196" s="21" t="s">
        <v>152</v>
      </c>
      <c r="G196" s="21" t="s">
        <v>35</v>
      </c>
      <c r="H196" s="23" t="s">
        <v>30</v>
      </c>
      <c r="I196" s="21" t="str">
        <f>SetorNucleo[[#This Row],[Empresa]]&amp;SetorNucleo[[#This Row],[Setor]]</f>
        <v>AV1001FRU</v>
      </c>
      <c r="J196" s="21" t="s">
        <v>36</v>
      </c>
    </row>
    <row r="197" spans="1:10">
      <c r="A197" s="21" t="s">
        <v>10</v>
      </c>
      <c r="B197" s="21" t="s">
        <v>266</v>
      </c>
      <c r="C197" s="21" t="s">
        <v>12</v>
      </c>
      <c r="D197" s="21" t="s">
        <v>267</v>
      </c>
      <c r="E197" s="21" t="s">
        <v>268</v>
      </c>
      <c r="F197" s="21" t="s">
        <v>22</v>
      </c>
      <c r="G197" s="21" t="s">
        <v>16</v>
      </c>
      <c r="H197" s="23" t="s">
        <v>28</v>
      </c>
      <c r="I197" s="21" t="str">
        <f>SetorNucleo[[#This Row],[Empresa]]&amp;SetorNucleo[[#This Row],[Setor]]</f>
        <v>OPÇAOJTB</v>
      </c>
      <c r="J197" s="21" t="s">
        <v>29</v>
      </c>
    </row>
    <row r="198" spans="1:10">
      <c r="A198" s="21" t="s">
        <v>63</v>
      </c>
      <c r="B198" s="21" t="s">
        <v>245</v>
      </c>
      <c r="C198" s="21" t="s">
        <v>32</v>
      </c>
      <c r="D198" s="21" t="s">
        <v>246</v>
      </c>
      <c r="F198" s="21" t="s">
        <v>34</v>
      </c>
      <c r="G198" s="21" t="s">
        <v>35</v>
      </c>
      <c r="H198" s="23" t="s">
        <v>30</v>
      </c>
      <c r="I198" s="21" t="str">
        <f>SetorNucleo[[#This Row],[Empresa]]&amp;SetorNucleo[[#This Row],[Setor]]</f>
        <v>AV1001MAR</v>
      </c>
      <c r="J198" s="21" t="s">
        <v>36</v>
      </c>
    </row>
    <row r="199" spans="1:10">
      <c r="A199" s="21" t="s">
        <v>10</v>
      </c>
      <c r="B199" s="21" t="s">
        <v>72</v>
      </c>
      <c r="C199" s="21" t="s">
        <v>12</v>
      </c>
      <c r="D199" s="21" t="s">
        <v>73</v>
      </c>
      <c r="E199" s="21" t="s">
        <v>74</v>
      </c>
      <c r="F199" s="21" t="s">
        <v>15</v>
      </c>
      <c r="G199" s="21" t="s">
        <v>16</v>
      </c>
      <c r="H199" s="23" t="s">
        <v>28</v>
      </c>
      <c r="I199" s="21" t="str">
        <f>SetorNucleo[[#This Row],[Empresa]]&amp;SetorNucleo[[#This Row],[Setor]]</f>
        <v>OPÇAOSCF</v>
      </c>
      <c r="J199" s="21" t="s">
        <v>29</v>
      </c>
    </row>
    <row r="204" spans="1:10">
      <c r="I204" t="s">
        <v>398</v>
      </c>
    </row>
  </sheetData>
  <autoFilter ref="I204" xr:uid="{00000000-0009-0000-0000-000000000000}"/>
  <conditionalFormatting sqref="E2:E199">
    <cfRule type="duplicateValues" dxfId="11" priority="46"/>
  </conditionalFormatting>
  <conditionalFormatting sqref="E195">
    <cfRule type="duplicateValues" dxfId="10" priority="10"/>
  </conditionalFormatting>
  <conditionalFormatting sqref="E196">
    <cfRule type="duplicateValues" dxfId="9" priority="8"/>
  </conditionalFormatting>
  <conditionalFormatting sqref="E197">
    <cfRule type="duplicateValues" dxfId="8" priority="6"/>
  </conditionalFormatting>
  <conditionalFormatting sqref="E198">
    <cfRule type="duplicateValues" dxfId="7" priority="4"/>
  </conditionalFormatting>
  <conditionalFormatting sqref="E199">
    <cfRule type="duplicateValues" dxfId="6" priority="2"/>
  </conditionalFormatting>
  <conditionalFormatting sqref="I1:I1048576">
    <cfRule type="duplicateValues" dxfId="5" priority="12"/>
  </conditionalFormatting>
  <conditionalFormatting sqref="I195">
    <cfRule type="duplicateValues" dxfId="4" priority="9"/>
  </conditionalFormatting>
  <conditionalFormatting sqref="I196">
    <cfRule type="duplicateValues" dxfId="3" priority="7"/>
  </conditionalFormatting>
  <conditionalFormatting sqref="I197">
    <cfRule type="duplicateValues" dxfId="2" priority="5"/>
  </conditionalFormatting>
  <conditionalFormatting sqref="I198">
    <cfRule type="duplicateValues" dxfId="1" priority="3"/>
  </conditionalFormatting>
  <conditionalFormatting sqref="I19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"/>
  <sheetViews>
    <sheetView topLeftCell="A31" workbookViewId="0">
      <selection activeCell="H10" sqref="H10"/>
    </sheetView>
  </sheetViews>
  <sheetFormatPr defaultColWidth="9" defaultRowHeight="14.5"/>
  <cols>
    <col min="1" max="1" width="52.81640625" customWidth="1"/>
    <col min="2" max="2" width="5.81640625" customWidth="1"/>
  </cols>
  <sheetData>
    <row r="1" spans="1:2">
      <c r="A1" s="1" t="s">
        <v>399</v>
      </c>
      <c r="B1" t="s">
        <v>1</v>
      </c>
    </row>
    <row r="2" spans="1:2">
      <c r="A2" s="1" t="s">
        <v>400</v>
      </c>
      <c r="B2" t="s">
        <v>279</v>
      </c>
    </row>
    <row r="3" spans="1:2">
      <c r="A3" s="1" t="s">
        <v>401</v>
      </c>
      <c r="B3" t="s">
        <v>112</v>
      </c>
    </row>
    <row r="4" spans="1:2">
      <c r="A4" s="1" t="s">
        <v>402</v>
      </c>
      <c r="B4" t="s">
        <v>194</v>
      </c>
    </row>
    <row r="5" spans="1:2">
      <c r="A5" s="1" t="s">
        <v>403</v>
      </c>
      <c r="B5" t="s">
        <v>112</v>
      </c>
    </row>
    <row r="6" spans="1:2">
      <c r="A6" s="1" t="s">
        <v>404</v>
      </c>
      <c r="B6" t="s">
        <v>310</v>
      </c>
    </row>
    <row r="7" spans="1:2">
      <c r="A7" s="1" t="s">
        <v>405</v>
      </c>
      <c r="B7" t="s">
        <v>35</v>
      </c>
    </row>
    <row r="8" spans="1:2">
      <c r="A8" s="1" t="s">
        <v>406</v>
      </c>
      <c r="B8" t="s">
        <v>155</v>
      </c>
    </row>
    <row r="9" spans="1:2">
      <c r="A9" s="1" t="s">
        <v>407</v>
      </c>
      <c r="B9" t="s">
        <v>45</v>
      </c>
    </row>
    <row r="10" spans="1:2">
      <c r="A10" s="1" t="s">
        <v>408</v>
      </c>
      <c r="B10" t="s">
        <v>35</v>
      </c>
    </row>
    <row r="11" spans="1:2">
      <c r="A11" s="1" t="s">
        <v>409</v>
      </c>
      <c r="B11" s="25" t="s">
        <v>310</v>
      </c>
    </row>
    <row r="12" spans="1:2">
      <c r="A12" s="1" t="s">
        <v>410</v>
      </c>
      <c r="B12" t="s">
        <v>35</v>
      </c>
    </row>
    <row r="13" spans="1:2">
      <c r="A13" s="1" t="s">
        <v>411</v>
      </c>
      <c r="B13" t="s">
        <v>45</v>
      </c>
    </row>
    <row r="14" spans="1:2">
      <c r="A14" s="1" t="s">
        <v>412</v>
      </c>
      <c r="B14" t="s">
        <v>299</v>
      </c>
    </row>
    <row r="15" spans="1:2">
      <c r="A15" s="1" t="s">
        <v>413</v>
      </c>
      <c r="B15" t="s">
        <v>208</v>
      </c>
    </row>
    <row r="16" spans="1:2">
      <c r="A16" s="1" t="s">
        <v>414</v>
      </c>
      <c r="B16" t="s">
        <v>203</v>
      </c>
    </row>
    <row r="17" spans="1:2">
      <c r="A17" s="1" t="s">
        <v>415</v>
      </c>
      <c r="B17" t="s">
        <v>35</v>
      </c>
    </row>
    <row r="18" spans="1:2">
      <c r="A18" s="1" t="s">
        <v>416</v>
      </c>
      <c r="B18" t="s">
        <v>45</v>
      </c>
    </row>
    <row r="19" spans="1:2">
      <c r="A19" s="1" t="s">
        <v>417</v>
      </c>
      <c r="B19" t="s">
        <v>279</v>
      </c>
    </row>
    <row r="20" spans="1:2">
      <c r="A20" s="1" t="s">
        <v>418</v>
      </c>
      <c r="B20" t="s">
        <v>64</v>
      </c>
    </row>
    <row r="21" spans="1:2">
      <c r="A21" s="1" t="s">
        <v>419</v>
      </c>
      <c r="B21" s="25" t="s">
        <v>24</v>
      </c>
    </row>
    <row r="22" spans="1:2">
      <c r="A22" s="1" t="s">
        <v>420</v>
      </c>
      <c r="B22" t="s">
        <v>58</v>
      </c>
    </row>
    <row r="23" spans="1:2">
      <c r="A23" s="1" t="s">
        <v>421</v>
      </c>
      <c r="B23" t="s">
        <v>35</v>
      </c>
    </row>
    <row r="24" spans="1:2">
      <c r="A24" s="1" t="s">
        <v>422</v>
      </c>
      <c r="B24" s="25" t="s">
        <v>310</v>
      </c>
    </row>
    <row r="25" spans="1:2">
      <c r="A25" s="1" t="s">
        <v>423</v>
      </c>
      <c r="B25" t="s">
        <v>45</v>
      </c>
    </row>
    <row r="26" spans="1:2">
      <c r="A26" s="1" t="s">
        <v>424</v>
      </c>
      <c r="B26" t="s">
        <v>160</v>
      </c>
    </row>
    <row r="27" spans="1:2">
      <c r="A27" s="1" t="s">
        <v>425</v>
      </c>
      <c r="B27" t="s">
        <v>108</v>
      </c>
    </row>
    <row r="28" spans="1:2">
      <c r="A28" s="1" t="s">
        <v>426</v>
      </c>
      <c r="B28" s="25" t="s">
        <v>338</v>
      </c>
    </row>
    <row r="29" spans="1:2">
      <c r="A29" s="1" t="s">
        <v>427</v>
      </c>
      <c r="B29" t="s">
        <v>35</v>
      </c>
    </row>
    <row r="30" spans="1:2">
      <c r="A30" s="1" t="s">
        <v>428</v>
      </c>
      <c r="B30" s="25" t="s">
        <v>77</v>
      </c>
    </row>
    <row r="31" spans="1:2">
      <c r="A31" s="1" t="s">
        <v>429</v>
      </c>
      <c r="B31" t="s">
        <v>45</v>
      </c>
    </row>
    <row r="32" spans="1:2">
      <c r="A32" s="1" t="s">
        <v>430</v>
      </c>
      <c r="B32" s="25" t="s">
        <v>106</v>
      </c>
    </row>
    <row r="33" spans="1:2">
      <c r="A33" s="1" t="s">
        <v>431</v>
      </c>
      <c r="B33" t="s">
        <v>186</v>
      </c>
    </row>
    <row r="34" spans="1:2">
      <c r="A34" s="1" t="s">
        <v>432</v>
      </c>
      <c r="B34" s="25" t="s">
        <v>310</v>
      </c>
    </row>
    <row r="35" spans="1:2">
      <c r="A35" s="1" t="s">
        <v>433</v>
      </c>
      <c r="B35" s="25" t="s">
        <v>106</v>
      </c>
    </row>
    <row r="36" spans="1:2">
      <c r="A36" s="1" t="s">
        <v>434</v>
      </c>
      <c r="B36" t="s">
        <v>226</v>
      </c>
    </row>
    <row r="37" spans="1:2">
      <c r="A37" s="1" t="s">
        <v>435</v>
      </c>
      <c r="B37" t="s">
        <v>45</v>
      </c>
    </row>
    <row r="38" spans="1:2">
      <c r="A38" s="1" t="s">
        <v>436</v>
      </c>
      <c r="B38" t="s">
        <v>35</v>
      </c>
    </row>
    <row r="39" spans="1:2">
      <c r="A39" s="1" t="s">
        <v>437</v>
      </c>
      <c r="B39" s="25" t="s">
        <v>341</v>
      </c>
    </row>
    <row r="40" spans="1:2">
      <c r="A40" s="1" t="s">
        <v>438</v>
      </c>
      <c r="B40" t="s">
        <v>35</v>
      </c>
    </row>
    <row r="41" spans="1:2">
      <c r="A41" s="1" t="s">
        <v>439</v>
      </c>
      <c r="B41" t="s">
        <v>108</v>
      </c>
    </row>
    <row r="42" spans="1:2">
      <c r="A42" s="1" t="s">
        <v>440</v>
      </c>
      <c r="B42" t="s">
        <v>155</v>
      </c>
    </row>
    <row r="43" spans="1:2">
      <c r="A43" s="1" t="s">
        <v>441</v>
      </c>
      <c r="B43" s="25" t="s">
        <v>310</v>
      </c>
    </row>
    <row r="44" spans="1:2">
      <c r="A44" s="1" t="s">
        <v>442</v>
      </c>
      <c r="B44" t="s">
        <v>108</v>
      </c>
    </row>
    <row r="45" spans="1:2">
      <c r="A45" s="1" t="s">
        <v>443</v>
      </c>
      <c r="B45" t="s">
        <v>45</v>
      </c>
    </row>
    <row r="46" spans="1:2">
      <c r="A46" s="1" t="s">
        <v>444</v>
      </c>
      <c r="B46" t="s">
        <v>155</v>
      </c>
    </row>
    <row r="47" spans="1:2">
      <c r="A47" s="1" t="s">
        <v>445</v>
      </c>
      <c r="B47" s="25" t="s">
        <v>310</v>
      </c>
    </row>
    <row r="48" spans="1:2">
      <c r="A48" s="1" t="s">
        <v>446</v>
      </c>
      <c r="B48" t="s">
        <v>45</v>
      </c>
    </row>
    <row r="49" spans="1:2">
      <c r="A49" s="1" t="s">
        <v>447</v>
      </c>
      <c r="B49" t="s">
        <v>361</v>
      </c>
    </row>
    <row r="50" spans="1:2">
      <c r="A50" s="1" t="s">
        <v>448</v>
      </c>
      <c r="B50" t="s">
        <v>56</v>
      </c>
    </row>
    <row r="51" spans="1:2">
      <c r="A51" s="1" t="s">
        <v>449</v>
      </c>
      <c r="B51" t="s">
        <v>56</v>
      </c>
    </row>
    <row r="52" spans="1:2">
      <c r="A52" s="1" t="s">
        <v>450</v>
      </c>
      <c r="B52" t="s">
        <v>222</v>
      </c>
    </row>
    <row r="53" spans="1:2">
      <c r="A53" s="1" t="s">
        <v>451</v>
      </c>
      <c r="B53" s="25" t="s">
        <v>269</v>
      </c>
    </row>
    <row r="54" spans="1:2">
      <c r="A54" s="1" t="s">
        <v>452</v>
      </c>
      <c r="B54" s="25" t="s">
        <v>310</v>
      </c>
    </row>
    <row r="55" spans="1:2">
      <c r="A55" s="1" t="s">
        <v>453</v>
      </c>
      <c r="B55" t="s">
        <v>241</v>
      </c>
    </row>
    <row r="56" spans="1:2">
      <c r="A56" s="1" t="s">
        <v>454</v>
      </c>
      <c r="B56" t="s">
        <v>222</v>
      </c>
    </row>
    <row r="57" spans="1:2">
      <c r="A57" s="1" t="s">
        <v>455</v>
      </c>
      <c r="B57" t="s">
        <v>161</v>
      </c>
    </row>
    <row r="58" spans="1:2">
      <c r="A58" s="1" t="s">
        <v>456</v>
      </c>
      <c r="B58" t="s">
        <v>112</v>
      </c>
    </row>
    <row r="59" spans="1:2">
      <c r="A59" s="1" t="s">
        <v>457</v>
      </c>
      <c r="B59" s="25" t="s">
        <v>310</v>
      </c>
    </row>
    <row r="60" spans="1:2">
      <c r="A60" s="1" t="s">
        <v>458</v>
      </c>
      <c r="B60" s="25" t="s">
        <v>310</v>
      </c>
    </row>
    <row r="61" spans="1:2">
      <c r="A61" s="1" t="s">
        <v>459</v>
      </c>
      <c r="B61" s="25" t="s">
        <v>310</v>
      </c>
    </row>
    <row r="62" spans="1:2">
      <c r="A62" s="1" t="s">
        <v>460</v>
      </c>
      <c r="B62" t="s">
        <v>186</v>
      </c>
    </row>
    <row r="63" spans="1:2">
      <c r="A63" s="1" t="s">
        <v>461</v>
      </c>
      <c r="B63" t="s">
        <v>35</v>
      </c>
    </row>
    <row r="64" spans="1:2">
      <c r="A64" s="1" t="s">
        <v>462</v>
      </c>
      <c r="B64" s="25" t="s">
        <v>310</v>
      </c>
    </row>
    <row r="65" spans="1:2">
      <c r="A65" s="1" t="s">
        <v>463</v>
      </c>
      <c r="B65" s="25" t="s">
        <v>310</v>
      </c>
    </row>
    <row r="66" spans="1:2">
      <c r="A66" s="1" t="s">
        <v>464</v>
      </c>
      <c r="B66" t="s">
        <v>108</v>
      </c>
    </row>
    <row r="67" spans="1:2">
      <c r="A67" s="1" t="s">
        <v>465</v>
      </c>
      <c r="B67" s="25" t="s">
        <v>310</v>
      </c>
    </row>
    <row r="68" spans="1:2">
      <c r="A68" s="1" t="s">
        <v>466</v>
      </c>
      <c r="B68" s="25" t="s">
        <v>310</v>
      </c>
    </row>
    <row r="69" spans="1:2">
      <c r="A69" s="1" t="s">
        <v>467</v>
      </c>
      <c r="B69" t="s">
        <v>160</v>
      </c>
    </row>
    <row r="70" spans="1:2">
      <c r="A70" s="1" t="s">
        <v>468</v>
      </c>
      <c r="B70" s="25" t="s">
        <v>310</v>
      </c>
    </row>
    <row r="71" spans="1:2">
      <c r="A71" s="1" t="s">
        <v>469</v>
      </c>
      <c r="B71" s="25" t="s">
        <v>310</v>
      </c>
    </row>
    <row r="72" spans="1:2">
      <c r="A72" s="1" t="s">
        <v>470</v>
      </c>
      <c r="B72" t="s">
        <v>64</v>
      </c>
    </row>
    <row r="73" spans="1:2">
      <c r="A73" s="1" t="s">
        <v>471</v>
      </c>
      <c r="B73" s="25" t="s">
        <v>269</v>
      </c>
    </row>
    <row r="74" spans="1:2">
      <c r="A74" s="1" t="s">
        <v>472</v>
      </c>
      <c r="B74" s="25" t="s">
        <v>310</v>
      </c>
    </row>
    <row r="75" spans="1:2">
      <c r="A75" s="1" t="s">
        <v>473</v>
      </c>
      <c r="B75" s="25" t="s">
        <v>310</v>
      </c>
    </row>
    <row r="76" spans="1:2">
      <c r="A76" s="1" t="s">
        <v>474</v>
      </c>
      <c r="B76" s="25" t="s">
        <v>162</v>
      </c>
    </row>
    <row r="77" spans="1:2">
      <c r="A77" s="1" t="s">
        <v>475</v>
      </c>
      <c r="B77" s="25" t="s">
        <v>310</v>
      </c>
    </row>
    <row r="78" spans="1:2">
      <c r="A78" s="1" t="s">
        <v>476</v>
      </c>
      <c r="B78" t="s">
        <v>45</v>
      </c>
    </row>
    <row r="79" spans="1:2">
      <c r="A79" s="1" t="s">
        <v>477</v>
      </c>
      <c r="B79" t="s">
        <v>222</v>
      </c>
    </row>
    <row r="80" spans="1:2">
      <c r="A80" s="1" t="s">
        <v>478</v>
      </c>
      <c r="B80" t="s">
        <v>213</v>
      </c>
    </row>
    <row r="81" spans="1:2">
      <c r="A81" s="1" t="s">
        <v>479</v>
      </c>
      <c r="B81" t="s">
        <v>299</v>
      </c>
    </row>
    <row r="82" spans="1:2">
      <c r="A82" s="1" t="s">
        <v>480</v>
      </c>
      <c r="B82" t="s">
        <v>299</v>
      </c>
    </row>
    <row r="83" spans="1:2">
      <c r="A83" s="1" t="s">
        <v>481</v>
      </c>
      <c r="B83" t="s">
        <v>155</v>
      </c>
    </row>
    <row r="84" spans="1:2">
      <c r="A84" s="1" t="s">
        <v>482</v>
      </c>
      <c r="B84" t="s">
        <v>35</v>
      </c>
    </row>
    <row r="85" spans="1:2">
      <c r="A85" s="1" t="s">
        <v>483</v>
      </c>
      <c r="B85" s="25" t="s">
        <v>310</v>
      </c>
    </row>
    <row r="86" spans="1:2">
      <c r="A86" s="1" t="s">
        <v>484</v>
      </c>
      <c r="B86" t="s">
        <v>35</v>
      </c>
    </row>
    <row r="87" spans="1:2">
      <c r="A87" s="1" t="s">
        <v>485</v>
      </c>
      <c r="B87" t="s">
        <v>64</v>
      </c>
    </row>
    <row r="88" spans="1:2">
      <c r="A88" s="1" t="s">
        <v>486</v>
      </c>
      <c r="B88" t="s">
        <v>64</v>
      </c>
    </row>
    <row r="89" spans="1:2">
      <c r="A89" s="1" t="s">
        <v>487</v>
      </c>
      <c r="B89" t="s">
        <v>155</v>
      </c>
    </row>
    <row r="90" spans="1:2">
      <c r="A90" s="1" t="s">
        <v>488</v>
      </c>
      <c r="B90" t="s">
        <v>35</v>
      </c>
    </row>
    <row r="91" spans="1:2">
      <c r="A91" s="1" t="s">
        <v>489</v>
      </c>
      <c r="B91" t="s">
        <v>53</v>
      </c>
    </row>
    <row r="92" spans="1:2">
      <c r="A92" s="1" t="s">
        <v>490</v>
      </c>
      <c r="B92" t="s">
        <v>112</v>
      </c>
    </row>
    <row r="93" spans="1:2">
      <c r="A93" s="1" t="s">
        <v>491</v>
      </c>
      <c r="B93" t="s">
        <v>161</v>
      </c>
    </row>
    <row r="94" spans="1:2">
      <c r="A94" s="1" t="s">
        <v>492</v>
      </c>
      <c r="B94" t="s">
        <v>53</v>
      </c>
    </row>
    <row r="95" spans="1:2">
      <c r="A95" s="1" t="s">
        <v>493</v>
      </c>
      <c r="B95" t="s">
        <v>231</v>
      </c>
    </row>
    <row r="96" spans="1:2">
      <c r="A96" s="1" t="s">
        <v>494</v>
      </c>
      <c r="B96" t="s">
        <v>241</v>
      </c>
    </row>
    <row r="97" spans="1:2">
      <c r="A97" s="1" t="s">
        <v>495</v>
      </c>
      <c r="B97" t="s">
        <v>53</v>
      </c>
    </row>
    <row r="98" spans="1:2">
      <c r="A98" s="1" t="s">
        <v>496</v>
      </c>
      <c r="B98" t="s">
        <v>77</v>
      </c>
    </row>
  </sheetData>
  <autoFilter ref="A1:B98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7"/>
  <sheetViews>
    <sheetView workbookViewId="0">
      <selection activeCell="E439" sqref="E439"/>
    </sheetView>
  </sheetViews>
  <sheetFormatPr defaultColWidth="9" defaultRowHeight="14.5"/>
  <cols>
    <col min="1" max="1" width="56" customWidth="1"/>
    <col min="2" max="2" width="11.54296875" customWidth="1"/>
    <col min="3" max="3" width="32.1796875" customWidth="1"/>
    <col min="4" max="4" width="6.08984375" customWidth="1"/>
    <col min="5" max="5" width="19" customWidth="1"/>
    <col min="6" max="6" width="8.453125" customWidth="1"/>
  </cols>
  <sheetData>
    <row r="1" spans="1:6">
      <c r="A1" s="10" t="s">
        <v>497</v>
      </c>
      <c r="B1" s="10" t="s">
        <v>498</v>
      </c>
      <c r="C1" s="10" t="s">
        <v>1</v>
      </c>
      <c r="D1" s="10" t="s">
        <v>499</v>
      </c>
      <c r="E1" s="10" t="s">
        <v>500</v>
      </c>
      <c r="F1" s="10" t="s">
        <v>6</v>
      </c>
    </row>
    <row r="2" spans="1:6">
      <c r="A2" s="11" t="s">
        <v>501</v>
      </c>
      <c r="B2" s="12" t="s">
        <v>24</v>
      </c>
      <c r="C2" s="10" t="s">
        <v>26</v>
      </c>
      <c r="D2" s="10" t="s">
        <v>24</v>
      </c>
      <c r="E2" s="10" t="str">
        <f>IFERROR(VLOOKUP(Tabela55[[#This Row],[Abrev]],Nucleos!$B$2:$G$199,5,0),"Verificar com o setor")</f>
        <v>INTERIOR SP</v>
      </c>
      <c r="F2" s="10" t="s">
        <v>16</v>
      </c>
    </row>
    <row r="3" spans="1:6">
      <c r="A3" s="13" t="s">
        <v>502</v>
      </c>
      <c r="B3" s="12" t="s">
        <v>503</v>
      </c>
      <c r="C3" s="10" t="s">
        <v>26</v>
      </c>
      <c r="D3" s="10" t="s">
        <v>24</v>
      </c>
      <c r="E3" s="10" t="str">
        <f>IFERROR(VLOOKUP(Tabela55[[#This Row],[Abrev]],Nucleos!$B$2:$G$199,5,0),"Verificar com o setor")</f>
        <v>INTERIOR SP</v>
      </c>
      <c r="F3" s="10" t="s">
        <v>16</v>
      </c>
    </row>
    <row r="4" spans="1:6">
      <c r="A4" s="13" t="s">
        <v>504</v>
      </c>
      <c r="B4" s="12" t="s">
        <v>505</v>
      </c>
      <c r="C4" s="10" t="s">
        <v>26</v>
      </c>
      <c r="D4" s="10" t="s">
        <v>24</v>
      </c>
      <c r="E4" s="10" t="str">
        <f>IFERROR(VLOOKUP(Tabela55[[#This Row],[Abrev]],Nucleos!$B$2:$G$199,5,0),"Verificar com o setor")</f>
        <v>INTERIOR SP</v>
      </c>
      <c r="F4" s="10" t="s">
        <v>16</v>
      </c>
    </row>
    <row r="5" spans="1:6">
      <c r="A5" s="10" t="s">
        <v>506</v>
      </c>
      <c r="B5" s="12" t="s">
        <v>507</v>
      </c>
      <c r="C5" s="10" t="s">
        <v>26</v>
      </c>
      <c r="D5" s="10" t="s">
        <v>24</v>
      </c>
      <c r="E5" s="10" t="str">
        <f>IFERROR(VLOOKUP(Tabela55[[#This Row],[Abrev]],Nucleos!$B$2:$G$199,5,0),"Verificar com o setor")</f>
        <v>INTERIOR SP</v>
      </c>
      <c r="F5" s="10" t="s">
        <v>16</v>
      </c>
    </row>
    <row r="6" spans="1:6">
      <c r="A6" s="10" t="s">
        <v>508</v>
      </c>
      <c r="B6" s="12" t="s">
        <v>509</v>
      </c>
      <c r="C6" s="10" t="s">
        <v>22</v>
      </c>
      <c r="D6" s="10" t="s">
        <v>45</v>
      </c>
      <c r="E6" s="10" t="str">
        <f>IFERROR(VLOOKUP(Tabela55[[#This Row],[Abrev]],Nucleos!$B$2:$G$199,5,0),"Verificar com o setor")</f>
        <v>BELO HORIZONTE</v>
      </c>
      <c r="F6" s="10" t="s">
        <v>16</v>
      </c>
    </row>
    <row r="7" spans="1:6">
      <c r="A7" s="11" t="s">
        <v>510</v>
      </c>
      <c r="B7" s="12" t="s">
        <v>45</v>
      </c>
      <c r="C7" s="10" t="s">
        <v>22</v>
      </c>
      <c r="D7" s="10" t="s">
        <v>45</v>
      </c>
      <c r="E7" s="10" t="str">
        <f>IFERROR(VLOOKUP(Tabela55[[#This Row],[Abrev]],Nucleos!$B$2:$G$199,5,0),"Verificar com o setor")</f>
        <v>BELO HORIZONTE</v>
      </c>
      <c r="F7" s="10" t="s">
        <v>16</v>
      </c>
    </row>
    <row r="8" spans="1:6">
      <c r="A8" s="14" t="s">
        <v>511</v>
      </c>
      <c r="B8" s="12" t="s">
        <v>512</v>
      </c>
      <c r="C8" s="10" t="s">
        <v>22</v>
      </c>
      <c r="D8" s="10" t="s">
        <v>45</v>
      </c>
      <c r="E8" s="10" t="str">
        <f>IFERROR(VLOOKUP(Tabela55[[#This Row],[Abrev]],Nucleos!$B$2:$G$199,5,0),"Verificar com o setor")</f>
        <v>BELO HORIZONTE</v>
      </c>
      <c r="F8" s="10" t="s">
        <v>16</v>
      </c>
    </row>
    <row r="9" spans="1:6">
      <c r="A9" s="11" t="s">
        <v>435</v>
      </c>
      <c r="B9" s="12" t="s">
        <v>513</v>
      </c>
      <c r="C9" s="10" t="s">
        <v>22</v>
      </c>
      <c r="D9" s="10" t="s">
        <v>45</v>
      </c>
      <c r="E9" s="10" t="str">
        <f>IFERROR(VLOOKUP(Tabela55[[#This Row],[Abrev]],Nucleos!$B$2:$G$199,5,0),"Verificar com o setor")</f>
        <v>BELO HORIZONTE</v>
      </c>
      <c r="F9" s="10" t="s">
        <v>16</v>
      </c>
    </row>
    <row r="10" spans="1:6">
      <c r="A10" s="10" t="s">
        <v>514</v>
      </c>
      <c r="B10" s="12" t="s">
        <v>515</v>
      </c>
      <c r="C10" s="10" t="s">
        <v>22</v>
      </c>
      <c r="D10" s="10" t="s">
        <v>45</v>
      </c>
      <c r="E10" s="10" t="str">
        <f>IFERROR(VLOOKUP(Tabela55[[#This Row],[Abrev]],Nucleos!$B$2:$G$199,5,0),"Verificar com o setor")</f>
        <v>BELO HORIZONTE</v>
      </c>
      <c r="F10" s="10" t="s">
        <v>16</v>
      </c>
    </row>
    <row r="11" spans="1:6">
      <c r="A11" s="10" t="s">
        <v>516</v>
      </c>
      <c r="B11" s="12" t="s">
        <v>517</v>
      </c>
      <c r="C11" s="10" t="s">
        <v>22</v>
      </c>
      <c r="D11" s="10" t="s">
        <v>45</v>
      </c>
      <c r="E11" s="10" t="str">
        <f>IFERROR(VLOOKUP(Tabela55[[#This Row],[Abrev]],Nucleos!$B$2:$G$199,5,0),"Verificar com o setor")</f>
        <v>BELO HORIZONTE</v>
      </c>
      <c r="F11" s="10" t="s">
        <v>16</v>
      </c>
    </row>
    <row r="12" spans="1:6">
      <c r="A12" s="10" t="s">
        <v>518</v>
      </c>
      <c r="B12" s="12" t="s">
        <v>519</v>
      </c>
      <c r="C12" s="10" t="s">
        <v>22</v>
      </c>
      <c r="D12" s="10" t="s">
        <v>45</v>
      </c>
      <c r="E12" s="10" t="str">
        <f>IFERROR(VLOOKUP(Tabela55[[#This Row],[Abrev]],Nucleos!$B$2:$G$199,5,0),"Verificar com o setor")</f>
        <v>BELO HORIZONTE</v>
      </c>
      <c r="F12" s="10" t="s">
        <v>16</v>
      </c>
    </row>
    <row r="13" spans="1:6">
      <c r="A13" s="10" t="s">
        <v>520</v>
      </c>
      <c r="B13" s="12" t="s">
        <v>521</v>
      </c>
      <c r="C13" s="10" t="s">
        <v>52</v>
      </c>
      <c r="D13" s="10" t="s">
        <v>56</v>
      </c>
      <c r="E13" s="10" t="str">
        <f>IFERROR(VLOOKUP(Tabela55[[#This Row],[Abrev]],Nucleos!$B$2:$G$199,5,0),"Verificar com o setor")</f>
        <v>BLUMENAU</v>
      </c>
      <c r="F13" s="10" t="s">
        <v>53</v>
      </c>
    </row>
    <row r="14" spans="1:6">
      <c r="A14" s="10" t="s">
        <v>522</v>
      </c>
      <c r="B14" s="12" t="s">
        <v>523</v>
      </c>
      <c r="C14" s="10" t="s">
        <v>52</v>
      </c>
      <c r="D14" s="10" t="s">
        <v>56</v>
      </c>
      <c r="E14" s="10" t="str">
        <f>IFERROR(VLOOKUP(Tabela55[[#This Row],[Abrev]],Nucleos!$B$2:$G$199,5,0),"Verificar com o setor")</f>
        <v>BLUMENAU</v>
      </c>
      <c r="F14" s="10" t="s">
        <v>53</v>
      </c>
    </row>
    <row r="15" spans="1:6">
      <c r="A15" s="11" t="s">
        <v>524</v>
      </c>
      <c r="B15" s="12" t="s">
        <v>56</v>
      </c>
      <c r="C15" s="10" t="s">
        <v>52</v>
      </c>
      <c r="D15" s="10" t="s">
        <v>56</v>
      </c>
      <c r="E15" s="10" t="str">
        <f>IFERROR(VLOOKUP(Tabela55[[#This Row],[Abrev]],Nucleos!$B$2:$G$199,5,0),"Verificar com o setor")</f>
        <v>BLUMENAU</v>
      </c>
      <c r="F15" s="10" t="s">
        <v>53</v>
      </c>
    </row>
    <row r="16" spans="1:6">
      <c r="A16" s="11" t="s">
        <v>524</v>
      </c>
      <c r="B16" s="12" t="s">
        <v>525</v>
      </c>
      <c r="C16" s="10" t="s">
        <v>52</v>
      </c>
      <c r="D16" s="10" t="s">
        <v>56</v>
      </c>
      <c r="E16" s="10" t="str">
        <f>IFERROR(VLOOKUP(Tabela55[[#This Row],[Abrev]],Nucleos!$B$2:$G$199,5,0),"Verificar com o setor")</f>
        <v>BLUMENAU</v>
      </c>
      <c r="F16" s="10" t="s">
        <v>53</v>
      </c>
    </row>
    <row r="17" spans="1:6">
      <c r="A17" s="11" t="s">
        <v>526</v>
      </c>
      <c r="B17" s="12" t="s">
        <v>299</v>
      </c>
      <c r="C17" s="10" t="s">
        <v>52</v>
      </c>
      <c r="D17" s="10" t="s">
        <v>56</v>
      </c>
      <c r="E17" s="10" t="str">
        <f>IFERROR(VLOOKUP(Tabela55[[#This Row],[Abrev]],Nucleos!$B$2:$G$199,5,0),"Verificar com o setor")</f>
        <v>BLUMENAU</v>
      </c>
      <c r="F17" s="10" t="s">
        <v>53</v>
      </c>
    </row>
    <row r="18" spans="1:6">
      <c r="A18" s="11" t="s">
        <v>527</v>
      </c>
      <c r="B18" s="12" t="s">
        <v>528</v>
      </c>
      <c r="C18" s="10" t="s">
        <v>52</v>
      </c>
      <c r="D18" s="10" t="s">
        <v>56</v>
      </c>
      <c r="E18" s="10" t="str">
        <f>IFERROR(VLOOKUP(Tabela55[[#This Row],[Abrev]],Nucleos!$B$2:$G$199,5,0),"Verificar com o setor")</f>
        <v>BLUMENAU</v>
      </c>
      <c r="F18" s="10" t="s">
        <v>53</v>
      </c>
    </row>
    <row r="19" spans="1:6">
      <c r="A19" s="11" t="s">
        <v>529</v>
      </c>
      <c r="B19" s="12" t="s">
        <v>530</v>
      </c>
      <c r="C19" s="10" t="s">
        <v>52</v>
      </c>
      <c r="D19" s="10" t="s">
        <v>56</v>
      </c>
      <c r="E19" s="10" t="str">
        <f>IFERROR(VLOOKUP(Tabela55[[#This Row],[Abrev]],Nucleos!$B$2:$G$199,5,0),"Verificar com o setor")</f>
        <v>BLUMENAU</v>
      </c>
      <c r="F19" s="10" t="s">
        <v>53</v>
      </c>
    </row>
    <row r="20" spans="1:6">
      <c r="A20" s="11" t="s">
        <v>531</v>
      </c>
      <c r="B20" s="12" t="s">
        <v>365</v>
      </c>
      <c r="C20" s="10" t="s">
        <v>52</v>
      </c>
      <c r="D20" s="10" t="s">
        <v>56</v>
      </c>
      <c r="E20" s="10" t="str">
        <f>IFERROR(VLOOKUP(Tabela55[[#This Row],[Abrev]],Nucleos!$B$2:$G$199,5,0),"Verificar com o setor")</f>
        <v>BLUMENAU</v>
      </c>
      <c r="F20" s="10" t="s">
        <v>53</v>
      </c>
    </row>
    <row r="21" spans="1:6">
      <c r="A21" s="11" t="s">
        <v>532</v>
      </c>
      <c r="B21" s="12" t="s">
        <v>533</v>
      </c>
      <c r="C21" s="10" t="s">
        <v>52</v>
      </c>
      <c r="D21" s="10" t="s">
        <v>56</v>
      </c>
      <c r="E21" s="10" t="str">
        <f>IFERROR(VLOOKUP(Tabela55[[#This Row],[Abrev]],Nucleos!$B$2:$G$199,5,0),"Verificar com o setor")</f>
        <v>BLUMENAU</v>
      </c>
      <c r="F21" s="10" t="s">
        <v>53</v>
      </c>
    </row>
    <row r="22" spans="1:6">
      <c r="A22" s="10" t="s">
        <v>534</v>
      </c>
      <c r="B22" s="12" t="s">
        <v>535</v>
      </c>
      <c r="C22" s="10" t="s">
        <v>52</v>
      </c>
      <c r="D22" s="10" t="s">
        <v>56</v>
      </c>
      <c r="E22" s="10" t="str">
        <f>IFERROR(VLOOKUP(Tabela55[[#This Row],[Abrev]],Nucleos!$B$2:$G$199,5,0),"Verificar com o setor")</f>
        <v>BLUMENAU</v>
      </c>
      <c r="F22" s="10" t="s">
        <v>53</v>
      </c>
    </row>
    <row r="23" spans="1:6">
      <c r="A23" s="10" t="s">
        <v>536</v>
      </c>
      <c r="B23" s="12" t="s">
        <v>537</v>
      </c>
      <c r="C23" s="10" t="s">
        <v>52</v>
      </c>
      <c r="D23" s="10" t="s">
        <v>56</v>
      </c>
      <c r="E23" s="10" t="str">
        <f>IFERROR(VLOOKUP(Tabela55[[#This Row],[Abrev]],Nucleos!$B$2:$G$199,5,0),"Verificar com o setor")</f>
        <v>BLUMENAU</v>
      </c>
      <c r="F23" s="10" t="s">
        <v>53</v>
      </c>
    </row>
    <row r="24" spans="1:6">
      <c r="A24" s="10" t="s">
        <v>538</v>
      </c>
      <c r="B24" s="12" t="s">
        <v>539</v>
      </c>
      <c r="C24" s="10" t="s">
        <v>52</v>
      </c>
      <c r="D24" s="10" t="s">
        <v>56</v>
      </c>
      <c r="E24" s="10" t="str">
        <f>IFERROR(VLOOKUP(Tabela55[[#This Row],[Abrev]],Nucleos!$B$2:$G$199,5,0),"Verificar com o setor")</f>
        <v>BLUMENAU</v>
      </c>
      <c r="F24" s="10" t="s">
        <v>53</v>
      </c>
    </row>
    <row r="25" spans="1:6">
      <c r="A25" s="11" t="s">
        <v>540</v>
      </c>
      <c r="B25" s="12" t="s">
        <v>58</v>
      </c>
      <c r="C25" s="10" t="s">
        <v>52</v>
      </c>
      <c r="D25" s="10" t="s">
        <v>56</v>
      </c>
      <c r="E25" s="10" t="str">
        <f>IFERROR(VLOOKUP(Tabela55[[#This Row],[Abrev]],Nucleos!$B$2:$G$199,5,0),"Verificar com o setor")</f>
        <v>BLUMENAU</v>
      </c>
      <c r="F25" s="10" t="s">
        <v>53</v>
      </c>
    </row>
    <row r="26" spans="1:6">
      <c r="A26" s="11" t="s">
        <v>541</v>
      </c>
      <c r="B26" s="12" t="s">
        <v>542</v>
      </c>
      <c r="C26" s="10" t="s">
        <v>52</v>
      </c>
      <c r="D26" s="10" t="s">
        <v>56</v>
      </c>
      <c r="E26" s="10" t="str">
        <f>IFERROR(VLOOKUP(Tabela55[[#This Row],[Abrev]],Nucleos!$B$2:$G$199,5,0),"Verificar com o setor")</f>
        <v>BLUMENAU</v>
      </c>
      <c r="F26" s="10" t="s">
        <v>53</v>
      </c>
    </row>
    <row r="27" spans="1:6">
      <c r="A27" s="11" t="s">
        <v>543</v>
      </c>
      <c r="B27" s="12" t="s">
        <v>544</v>
      </c>
      <c r="C27" s="10" t="s">
        <v>52</v>
      </c>
      <c r="D27" s="10" t="s">
        <v>56</v>
      </c>
      <c r="E27" s="10" t="str">
        <f>IFERROR(VLOOKUP(Tabela55[[#This Row],[Abrev]],Nucleos!$B$2:$G$199,5,0),"Verificar com o setor")</f>
        <v>BLUMENAU</v>
      </c>
      <c r="F27" s="10" t="s">
        <v>53</v>
      </c>
    </row>
    <row r="28" spans="1:6">
      <c r="A28" s="11" t="s">
        <v>545</v>
      </c>
      <c r="B28" s="12" t="s">
        <v>546</v>
      </c>
      <c r="C28" s="10" t="s">
        <v>52</v>
      </c>
      <c r="D28" s="10" t="s">
        <v>56</v>
      </c>
      <c r="E28" s="10" t="str">
        <f>IFERROR(VLOOKUP(Tabela55[[#This Row],[Abrev]],Nucleos!$B$2:$G$199,5,0),"Verificar com o setor")</f>
        <v>BLUMENAU</v>
      </c>
      <c r="F28" s="10" t="s">
        <v>53</v>
      </c>
    </row>
    <row r="29" spans="1:6">
      <c r="A29" s="11" t="s">
        <v>547</v>
      </c>
      <c r="B29" s="12" t="s">
        <v>548</v>
      </c>
      <c r="C29" s="10" t="s">
        <v>52</v>
      </c>
      <c r="D29" s="10" t="s">
        <v>56</v>
      </c>
      <c r="E29" s="10" t="str">
        <f>IFERROR(VLOOKUP(Tabela55[[#This Row],[Abrev]],Nucleos!$B$2:$G$199,5,0),"Verificar com o setor")</f>
        <v>BLUMENAU</v>
      </c>
      <c r="F29" s="10" t="s">
        <v>53</v>
      </c>
    </row>
    <row r="30" spans="1:6">
      <c r="A30" s="11" t="s">
        <v>549</v>
      </c>
      <c r="B30" s="12" t="s">
        <v>69</v>
      </c>
      <c r="C30" s="10" t="s">
        <v>52</v>
      </c>
      <c r="D30" s="10" t="s">
        <v>56</v>
      </c>
      <c r="E30" s="10" t="str">
        <f>IFERROR(VLOOKUP(Tabela55[[#This Row],[Abrev]],Nucleos!$B$2:$G$199,5,0),"Verificar com o setor")</f>
        <v>BLUMENAU</v>
      </c>
      <c r="F30" s="10" t="s">
        <v>53</v>
      </c>
    </row>
    <row r="31" spans="1:6">
      <c r="A31" s="11" t="s">
        <v>550</v>
      </c>
      <c r="B31" s="12" t="s">
        <v>551</v>
      </c>
      <c r="C31" s="10" t="s">
        <v>52</v>
      </c>
      <c r="D31" s="10" t="s">
        <v>56</v>
      </c>
      <c r="E31" s="10" t="str">
        <f>IFERROR(VLOOKUP(Tabela55[[#This Row],[Abrev]],Nucleos!$B$2:$G$199,5,0),"Verificar com o setor")</f>
        <v>BLUMENAU</v>
      </c>
      <c r="F31" s="10" t="s">
        <v>53</v>
      </c>
    </row>
    <row r="32" spans="1:6">
      <c r="A32" s="11" t="s">
        <v>552</v>
      </c>
      <c r="B32" s="12" t="s">
        <v>553</v>
      </c>
      <c r="C32" s="10" t="s">
        <v>52</v>
      </c>
      <c r="D32" s="10" t="s">
        <v>56</v>
      </c>
      <c r="E32" s="10" t="str">
        <f>IFERROR(VLOOKUP(Tabela55[[#This Row],[Abrev]],Nucleos!$B$2:$G$199,5,0),"Verificar com o setor")</f>
        <v>BLUMENAU</v>
      </c>
      <c r="F32" s="10" t="s">
        <v>53</v>
      </c>
    </row>
    <row r="33" spans="1:6">
      <c r="A33" s="11" t="s">
        <v>554</v>
      </c>
      <c r="B33" s="12" t="s">
        <v>555</v>
      </c>
      <c r="C33" s="10" t="s">
        <v>52</v>
      </c>
      <c r="D33" s="10" t="s">
        <v>56</v>
      </c>
      <c r="E33" s="10" t="str">
        <f>IFERROR(VLOOKUP(Tabela55[[#This Row],[Abrev]],Nucleos!$B$2:$G$199,5,0),"Verificar com o setor")</f>
        <v>BLUMENAU</v>
      </c>
      <c r="F33" s="10" t="s">
        <v>53</v>
      </c>
    </row>
    <row r="34" spans="1:6">
      <c r="A34" s="10" t="s">
        <v>556</v>
      </c>
      <c r="B34" s="12" t="s">
        <v>557</v>
      </c>
      <c r="C34" s="10" t="s">
        <v>52</v>
      </c>
      <c r="D34" s="10" t="s">
        <v>56</v>
      </c>
      <c r="E34" s="10" t="str">
        <f>IFERROR(VLOOKUP(Tabela55[[#This Row],[Abrev]],Nucleos!$B$2:$G$199,5,0),"Verificar com o setor")</f>
        <v>BLUMENAU</v>
      </c>
      <c r="F34" s="10" t="s">
        <v>53</v>
      </c>
    </row>
    <row r="35" spans="1:6">
      <c r="A35" s="10" t="s">
        <v>558</v>
      </c>
      <c r="B35" s="12" t="s">
        <v>194</v>
      </c>
      <c r="C35" s="10" t="s">
        <v>52</v>
      </c>
      <c r="D35" s="10" t="s">
        <v>56</v>
      </c>
      <c r="E35" s="10" t="str">
        <f>IFERROR(VLOOKUP(Tabela55[[#This Row],[Abrev]],Nucleos!$B$2:$G$199,5,0),"Verificar com o setor")</f>
        <v>BLUMENAU</v>
      </c>
      <c r="F35" s="10" t="s">
        <v>53</v>
      </c>
    </row>
    <row r="36" spans="1:6">
      <c r="A36" s="10" t="s">
        <v>559</v>
      </c>
      <c r="B36" s="12" t="s">
        <v>560</v>
      </c>
      <c r="C36" s="10" t="s">
        <v>52</v>
      </c>
      <c r="D36" s="10" t="s">
        <v>56</v>
      </c>
      <c r="E36" s="10" t="str">
        <f>IFERROR(VLOOKUP(Tabela55[[#This Row],[Abrev]],Nucleos!$B$2:$G$199,5,0),"Verificar com o setor")</f>
        <v>BLUMENAU</v>
      </c>
      <c r="F36" s="10" t="s">
        <v>53</v>
      </c>
    </row>
    <row r="37" spans="1:6">
      <c r="A37" s="10" t="s">
        <v>561</v>
      </c>
      <c r="B37" s="15" t="s">
        <v>562</v>
      </c>
      <c r="C37" s="10" t="s">
        <v>52</v>
      </c>
      <c r="D37" s="10" t="s">
        <v>56</v>
      </c>
      <c r="E37" s="10" t="str">
        <f>IFERROR(VLOOKUP(Tabela55[[#This Row],[Abrev]],Nucleos!$B$2:$G$199,5,0),"Verificar com o setor")</f>
        <v>BLUMENAU</v>
      </c>
      <c r="F37" s="10" t="s">
        <v>53</v>
      </c>
    </row>
    <row r="38" spans="1:6">
      <c r="A38" s="10" t="s">
        <v>563</v>
      </c>
      <c r="B38" s="15" t="s">
        <v>564</v>
      </c>
      <c r="C38" s="10" t="s">
        <v>52</v>
      </c>
      <c r="D38" s="10" t="s">
        <v>56</v>
      </c>
      <c r="E38" s="10" t="str">
        <f>IFERROR(VLOOKUP(Tabela55[[#This Row],[Abrev]],Nucleos!$B$2:$G$199,5,0),"Verificar com o setor")</f>
        <v>BLUMENAU</v>
      </c>
      <c r="F38" s="10" t="s">
        <v>53</v>
      </c>
    </row>
    <row r="39" spans="1:6">
      <c r="A39" s="10" t="s">
        <v>565</v>
      </c>
      <c r="B39" s="15" t="s">
        <v>566</v>
      </c>
      <c r="C39" s="10" t="s">
        <v>52</v>
      </c>
      <c r="D39" s="10" t="s">
        <v>56</v>
      </c>
      <c r="E39" s="10" t="str">
        <f>IFERROR(VLOOKUP(Tabela55[[#This Row],[Abrev]],Nucleos!$B$2:$G$199,5,0),"Verificar com o setor")</f>
        <v>BLUMENAU</v>
      </c>
      <c r="F39" s="10" t="s">
        <v>53</v>
      </c>
    </row>
    <row r="40" spans="1:6">
      <c r="A40" s="11" t="s">
        <v>567</v>
      </c>
      <c r="B40" s="12" t="s">
        <v>568</v>
      </c>
      <c r="C40" s="10" t="s">
        <v>52</v>
      </c>
      <c r="D40" s="10" t="s">
        <v>56</v>
      </c>
      <c r="E40" s="10" t="str">
        <f>IFERROR(VLOOKUP(Tabela55[[#This Row],[Abrev]],Nucleos!$B$2:$G$199,5,0),"Verificar com o setor")</f>
        <v>BLUMENAU</v>
      </c>
      <c r="F40" s="10" t="s">
        <v>53</v>
      </c>
    </row>
    <row r="41" spans="1:6">
      <c r="A41" s="10" t="s">
        <v>569</v>
      </c>
      <c r="B41" s="12" t="s">
        <v>570</v>
      </c>
      <c r="C41" s="10" t="s">
        <v>52</v>
      </c>
      <c r="D41" s="10" t="s">
        <v>56</v>
      </c>
      <c r="E41" s="10" t="str">
        <f>IFERROR(VLOOKUP(Tabela55[[#This Row],[Abrev]],Nucleos!$B$2:$G$199,5,0),"Verificar com o setor")</f>
        <v>BLUMENAU</v>
      </c>
      <c r="F41" s="10" t="s">
        <v>53</v>
      </c>
    </row>
    <row r="42" spans="1:6">
      <c r="A42" s="10" t="s">
        <v>571</v>
      </c>
      <c r="B42" s="12" t="s">
        <v>572</v>
      </c>
      <c r="C42" s="10" t="s">
        <v>52</v>
      </c>
      <c r="D42" s="10" t="s">
        <v>56</v>
      </c>
      <c r="E42" s="10" t="str">
        <f>IFERROR(VLOOKUP(Tabela55[[#This Row],[Abrev]],Nucleos!$B$2:$G$199,5,0),"Verificar com o setor")</f>
        <v>BLUMENAU</v>
      </c>
      <c r="F42" s="10" t="s">
        <v>53</v>
      </c>
    </row>
    <row r="43" spans="1:6">
      <c r="A43" s="10" t="s">
        <v>573</v>
      </c>
      <c r="B43" s="12" t="s">
        <v>574</v>
      </c>
      <c r="C43" s="10" t="s">
        <v>52</v>
      </c>
      <c r="D43" s="10" t="s">
        <v>56</v>
      </c>
      <c r="E43" s="10" t="str">
        <f>IFERROR(VLOOKUP(Tabela55[[#This Row],[Abrev]],Nucleos!$B$2:$G$199,5,0),"Verificar com o setor")</f>
        <v>BLUMENAU</v>
      </c>
      <c r="F43" s="10" t="s">
        <v>53</v>
      </c>
    </row>
    <row r="44" spans="1:6">
      <c r="A44" s="10" t="s">
        <v>575</v>
      </c>
      <c r="B44" s="12" t="s">
        <v>576</v>
      </c>
      <c r="C44" s="10" t="s">
        <v>65</v>
      </c>
      <c r="D44" s="10" t="s">
        <v>64</v>
      </c>
      <c r="E44" s="10" t="str">
        <f>IFERROR(VLOOKUP(Tabela55[[#This Row],[Abrev]],Nucleos!$B$2:$G$199,5,0),"Verificar com o setor")</f>
        <v>CABO FRIO</v>
      </c>
      <c r="F44" s="10" t="s">
        <v>35</v>
      </c>
    </row>
    <row r="45" spans="1:6">
      <c r="A45" s="10" t="s">
        <v>577</v>
      </c>
      <c r="B45" s="12" t="s">
        <v>578</v>
      </c>
      <c r="C45" s="10" t="s">
        <v>65</v>
      </c>
      <c r="D45" s="10" t="s">
        <v>64</v>
      </c>
      <c r="E45" s="10" t="str">
        <f>IFERROR(VLOOKUP(Tabela55[[#This Row],[Abrev]],Nucleos!$B$2:$G$199,5,0),"Verificar com o setor")</f>
        <v>CABO FRIO</v>
      </c>
      <c r="F45" s="10" t="s">
        <v>35</v>
      </c>
    </row>
    <row r="46" spans="1:6">
      <c r="A46" s="10" t="s">
        <v>579</v>
      </c>
      <c r="B46" s="12" t="s">
        <v>64</v>
      </c>
      <c r="C46" s="10" t="s">
        <v>65</v>
      </c>
      <c r="D46" s="10" t="s">
        <v>64</v>
      </c>
      <c r="E46" s="10" t="str">
        <f>IFERROR(VLOOKUP(Tabela55[[#This Row],[Abrev]],Nucleos!$B$2:$G$199,5,0),"Verificar com o setor")</f>
        <v>CABO FRIO</v>
      </c>
      <c r="F46" s="10" t="s">
        <v>35</v>
      </c>
    </row>
    <row r="47" spans="1:6">
      <c r="A47" s="10" t="s">
        <v>580</v>
      </c>
      <c r="B47" s="12" t="s">
        <v>31</v>
      </c>
      <c r="C47" s="10" t="s">
        <v>65</v>
      </c>
      <c r="D47" s="10" t="s">
        <v>64</v>
      </c>
      <c r="E47" s="10" t="str">
        <f>IFERROR(VLOOKUP(Tabela55[[#This Row],[Abrev]],Nucleos!$B$2:$G$199,5,0),"Verificar com o setor")</f>
        <v>CABO FRIO</v>
      </c>
      <c r="F47" s="10" t="s">
        <v>35</v>
      </c>
    </row>
    <row r="48" spans="1:6">
      <c r="A48" s="10" t="s">
        <v>581</v>
      </c>
      <c r="B48" s="12" t="s">
        <v>582</v>
      </c>
      <c r="C48" s="10" t="s">
        <v>65</v>
      </c>
      <c r="D48" s="10" t="s">
        <v>64</v>
      </c>
      <c r="E48" s="10" t="str">
        <f>IFERROR(VLOOKUP(Tabela55[[#This Row],[Abrev]],Nucleos!$B$2:$G$199,5,0),"Verificar com o setor")</f>
        <v>CABO FRIO</v>
      </c>
      <c r="F48" s="10" t="s">
        <v>35</v>
      </c>
    </row>
    <row r="49" spans="1:6">
      <c r="A49" s="10" t="s">
        <v>583</v>
      </c>
      <c r="B49" s="12" t="s">
        <v>349</v>
      </c>
      <c r="C49" s="10" t="s">
        <v>65</v>
      </c>
      <c r="D49" s="10" t="s">
        <v>64</v>
      </c>
      <c r="E49" s="10" t="str">
        <f>IFERROR(VLOOKUP(Tabela55[[#This Row],[Abrev]],Nucleos!$B$2:$G$199,5,0),"Verificar com o setor")</f>
        <v>CABO FRIO</v>
      </c>
      <c r="F49" s="10" t="s">
        <v>35</v>
      </c>
    </row>
    <row r="50" spans="1:6">
      <c r="A50" s="10" t="s">
        <v>584</v>
      </c>
      <c r="B50" s="12" t="s">
        <v>585</v>
      </c>
      <c r="C50" s="10" t="s">
        <v>65</v>
      </c>
      <c r="D50" s="10" t="s">
        <v>64</v>
      </c>
      <c r="E50" s="10" t="str">
        <f>IFERROR(VLOOKUP(Tabela55[[#This Row],[Abrev]],Nucleos!$B$2:$G$199,5,0),"Verificar com o setor")</f>
        <v>CABO FRIO</v>
      </c>
      <c r="F50" s="10" t="s">
        <v>35</v>
      </c>
    </row>
    <row r="51" spans="1:6">
      <c r="A51" s="10" t="s">
        <v>586</v>
      </c>
      <c r="B51" s="15" t="s">
        <v>587</v>
      </c>
      <c r="C51" s="10" t="s">
        <v>65</v>
      </c>
      <c r="D51" s="10" t="s">
        <v>64</v>
      </c>
      <c r="E51" s="10" t="str">
        <f>IFERROR(VLOOKUP(Tabela55[[#This Row],[Abrev]],Nucleos!$B$2:$G$199,5,0),"Verificar com o setor")</f>
        <v>CABO FRIO</v>
      </c>
      <c r="F51" s="10" t="s">
        <v>35</v>
      </c>
    </row>
    <row r="52" spans="1:6">
      <c r="A52" s="10" t="s">
        <v>588</v>
      </c>
      <c r="B52" s="15" t="s">
        <v>589</v>
      </c>
      <c r="C52" s="10" t="s">
        <v>65</v>
      </c>
      <c r="D52" s="10" t="s">
        <v>64</v>
      </c>
      <c r="E52" s="10" t="str">
        <f>IFERROR(VLOOKUP(Tabela55[[#This Row],[Abrev]],Nucleos!$B$2:$G$199,5,0),"Verificar com o setor")</f>
        <v>CABO FRIO</v>
      </c>
      <c r="F52" s="10" t="s">
        <v>35</v>
      </c>
    </row>
    <row r="53" spans="1:6">
      <c r="A53" s="10" t="s">
        <v>590</v>
      </c>
      <c r="B53" s="15" t="s">
        <v>591</v>
      </c>
      <c r="C53" s="10" t="s">
        <v>65</v>
      </c>
      <c r="D53" s="10" t="s">
        <v>64</v>
      </c>
      <c r="E53" s="10" t="str">
        <f>IFERROR(VLOOKUP(Tabela55[[#This Row],[Abrev]],Nucleos!$B$2:$G$199,5,0),"Verificar com o setor")</f>
        <v>CABO FRIO</v>
      </c>
      <c r="F53" s="10" t="s">
        <v>35</v>
      </c>
    </row>
    <row r="54" spans="1:6">
      <c r="A54" s="10" t="s">
        <v>592</v>
      </c>
      <c r="B54" s="12" t="s">
        <v>593</v>
      </c>
      <c r="C54" s="10" t="s">
        <v>65</v>
      </c>
      <c r="D54" s="10" t="s">
        <v>64</v>
      </c>
      <c r="E54" s="10" t="str">
        <f>IFERROR(VLOOKUP(Tabela55[[#This Row],[Abrev]],Nucleos!$B$2:$G$199,5,0),"Verificar com o setor")</f>
        <v>CABO FRIO</v>
      </c>
      <c r="F54" s="10" t="s">
        <v>35</v>
      </c>
    </row>
    <row r="55" spans="1:6">
      <c r="A55" s="10" t="s">
        <v>594</v>
      </c>
      <c r="B55" s="10" t="s">
        <v>595</v>
      </c>
      <c r="C55" s="10" t="s">
        <v>65</v>
      </c>
      <c r="D55" s="10" t="s">
        <v>64</v>
      </c>
      <c r="E55" s="10" t="str">
        <f>IFERROR(VLOOKUP(Tabela55[[#This Row],[Abrev]],Nucleos!$B$2:$G$199,5,0),"Verificar com o setor")</f>
        <v>CABO FRIO</v>
      </c>
      <c r="F55" s="10" t="s">
        <v>35</v>
      </c>
    </row>
    <row r="56" spans="1:6">
      <c r="A56" s="10" t="s">
        <v>596</v>
      </c>
      <c r="B56" s="12" t="s">
        <v>597</v>
      </c>
      <c r="C56" s="10" t="s">
        <v>65</v>
      </c>
      <c r="D56" s="10" t="s">
        <v>64</v>
      </c>
      <c r="E56" s="10" t="str">
        <f>IFERROR(VLOOKUP(Tabela55[[#This Row],[Abrev]],Nucleos!$B$2:$G$199,5,0),"Verificar com o setor")</f>
        <v>CABO FRIO</v>
      </c>
      <c r="F56" s="10" t="s">
        <v>35</v>
      </c>
    </row>
    <row r="57" spans="1:6">
      <c r="A57" s="11" t="s">
        <v>598</v>
      </c>
      <c r="B57" s="12" t="s">
        <v>106</v>
      </c>
      <c r="C57" s="10" t="s">
        <v>102</v>
      </c>
      <c r="D57" s="10" t="s">
        <v>106</v>
      </c>
      <c r="E57" s="10" t="str">
        <f>IFERROR(VLOOKUP(Tabela55[[#This Row],[Abrev]],Nucleos!$B$2:$G$199,5,0),"Verificar com o setor")</f>
        <v>CAMPINAS</v>
      </c>
      <c r="F57" s="10" t="s">
        <v>16</v>
      </c>
    </row>
    <row r="58" spans="1:6">
      <c r="A58" s="11" t="s">
        <v>599</v>
      </c>
      <c r="B58" s="12" t="s">
        <v>600</v>
      </c>
      <c r="C58" s="10" t="s">
        <v>102</v>
      </c>
      <c r="D58" s="10" t="s">
        <v>106</v>
      </c>
      <c r="E58" s="10" t="str">
        <f>IFERROR(VLOOKUP(Tabela55[[#This Row],[Abrev]],Nucleos!$B$2:$G$199,5,0),"Verificar com o setor")</f>
        <v>CAMPINAS</v>
      </c>
      <c r="F58" s="10" t="s">
        <v>16</v>
      </c>
    </row>
    <row r="59" spans="1:6">
      <c r="A59" s="11" t="s">
        <v>601</v>
      </c>
      <c r="B59" s="12" t="s">
        <v>602</v>
      </c>
      <c r="C59" s="10" t="s">
        <v>102</v>
      </c>
      <c r="D59" s="10" t="s">
        <v>106</v>
      </c>
      <c r="E59" s="10" t="str">
        <f>IFERROR(VLOOKUP(Tabela55[[#This Row],[Abrev]],Nucleos!$B$2:$G$199,5,0),"Verificar com o setor")</f>
        <v>CAMPINAS</v>
      </c>
      <c r="F59" s="10" t="s">
        <v>16</v>
      </c>
    </row>
    <row r="60" spans="1:6">
      <c r="A60" s="11" t="s">
        <v>603</v>
      </c>
      <c r="B60" s="12" t="s">
        <v>604</v>
      </c>
      <c r="C60" s="10" t="s">
        <v>102</v>
      </c>
      <c r="D60" s="10" t="s">
        <v>106</v>
      </c>
      <c r="E60" s="10" t="str">
        <f>IFERROR(VLOOKUP(Tabela55[[#This Row],[Abrev]],Nucleos!$B$2:$G$199,5,0),"Verificar com o setor")</f>
        <v>CAMPINAS</v>
      </c>
      <c r="F60" s="10" t="s">
        <v>16</v>
      </c>
    </row>
    <row r="61" spans="1:6">
      <c r="A61" s="10" t="s">
        <v>605</v>
      </c>
      <c r="B61" s="12" t="s">
        <v>606</v>
      </c>
      <c r="C61" s="10" t="s">
        <v>102</v>
      </c>
      <c r="D61" s="10" t="s">
        <v>106</v>
      </c>
      <c r="E61" s="10" t="str">
        <f>IFERROR(VLOOKUP(Tabela55[[#This Row],[Abrev]],Nucleos!$B$2:$G$199,5,0),"Verificar com o setor")</f>
        <v>CAMPINAS</v>
      </c>
      <c r="F61" s="10" t="s">
        <v>16</v>
      </c>
    </row>
    <row r="62" spans="1:6">
      <c r="A62" s="10" t="s">
        <v>607</v>
      </c>
      <c r="B62" s="15" t="s">
        <v>608</v>
      </c>
      <c r="C62" s="10" t="s">
        <v>102</v>
      </c>
      <c r="D62" s="10" t="s">
        <v>106</v>
      </c>
      <c r="E62" s="10" t="str">
        <f>IFERROR(VLOOKUP(Tabela55[[#This Row],[Abrev]],Nucleos!$B$2:$G$199,5,0),"Verificar com o setor")</f>
        <v>CAMPINAS</v>
      </c>
      <c r="F62" s="10" t="s">
        <v>16</v>
      </c>
    </row>
    <row r="63" spans="1:6">
      <c r="A63" s="13" t="s">
        <v>609</v>
      </c>
      <c r="B63" s="12" t="s">
        <v>610</v>
      </c>
      <c r="C63" s="10" t="s">
        <v>102</v>
      </c>
      <c r="D63" s="10" t="s">
        <v>106</v>
      </c>
      <c r="E63" s="10" t="str">
        <f>IFERROR(VLOOKUP(Tabela55[[#This Row],[Abrev]],Nucleos!$B$2:$G$199,5,0),"Verificar com o setor")</f>
        <v>CAMPINAS</v>
      </c>
      <c r="F63" s="10" t="s">
        <v>16</v>
      </c>
    </row>
    <row r="64" spans="1:6">
      <c r="A64" s="13" t="s">
        <v>611</v>
      </c>
      <c r="B64" s="12" t="s">
        <v>612</v>
      </c>
      <c r="C64" s="10" t="s">
        <v>109</v>
      </c>
      <c r="D64" s="10" t="s">
        <v>108</v>
      </c>
      <c r="E64" s="10" t="str">
        <f>IFERROR(VLOOKUP(Tabela55[[#This Row],[Abrev]],Nucleos!$B$2:$G$199,5,0),"Verificar com o setor")</f>
        <v>CAMPOS</v>
      </c>
      <c r="F64" s="10" t="s">
        <v>35</v>
      </c>
    </row>
    <row r="65" spans="1:6">
      <c r="A65" s="10" t="s">
        <v>613</v>
      </c>
      <c r="B65" s="12" t="s">
        <v>614</v>
      </c>
      <c r="C65" s="10" t="s">
        <v>109</v>
      </c>
      <c r="D65" s="10" t="s">
        <v>108</v>
      </c>
      <c r="E65" s="10" t="str">
        <f>IFERROR(VLOOKUP(Tabela55[[#This Row],[Abrev]],Nucleos!$B$2:$G$199,5,0),"Verificar com o setor")</f>
        <v>CAMPOS</v>
      </c>
      <c r="F65" s="10" t="s">
        <v>35</v>
      </c>
    </row>
    <row r="66" spans="1:6">
      <c r="A66" s="10" t="s">
        <v>615</v>
      </c>
      <c r="B66" s="12" t="s">
        <v>616</v>
      </c>
      <c r="C66" s="10" t="s">
        <v>109</v>
      </c>
      <c r="D66" s="10" t="s">
        <v>108</v>
      </c>
      <c r="E66" s="10" t="str">
        <f>IFERROR(VLOOKUP(Tabela55[[#This Row],[Abrev]],Nucleos!$B$2:$G$199,5,0),"Verificar com o setor")</f>
        <v>CAMPOS</v>
      </c>
      <c r="F66" s="10" t="s">
        <v>35</v>
      </c>
    </row>
    <row r="67" spans="1:6">
      <c r="A67" s="10" t="s">
        <v>617</v>
      </c>
      <c r="B67" s="12" t="s">
        <v>618</v>
      </c>
      <c r="C67" s="10" t="s">
        <v>109</v>
      </c>
      <c r="D67" s="10" t="s">
        <v>108</v>
      </c>
      <c r="E67" s="10" t="str">
        <f>IFERROR(VLOOKUP(Tabela55[[#This Row],[Abrev]],Nucleos!$B$2:$G$199,5,0),"Verificar com o setor")</f>
        <v>CAMPOS</v>
      </c>
      <c r="F67" s="10" t="s">
        <v>35</v>
      </c>
    </row>
    <row r="68" spans="1:6">
      <c r="A68" s="10" t="s">
        <v>619</v>
      </c>
      <c r="B68" s="12" t="s">
        <v>620</v>
      </c>
      <c r="C68" s="10" t="s">
        <v>109</v>
      </c>
      <c r="D68" s="10" t="s">
        <v>108</v>
      </c>
      <c r="E68" s="10" t="str">
        <f>IFERROR(VLOOKUP(Tabela55[[#This Row],[Abrev]],Nucleos!$B$2:$G$199,5,0),"Verificar com o setor")</f>
        <v>CAMPOS</v>
      </c>
      <c r="F68" s="10" t="s">
        <v>35</v>
      </c>
    </row>
    <row r="69" spans="1:6">
      <c r="A69" s="10" t="s">
        <v>621</v>
      </c>
      <c r="B69" s="12" t="s">
        <v>336</v>
      </c>
      <c r="C69" s="10" t="s">
        <v>109</v>
      </c>
      <c r="D69" s="10" t="s">
        <v>108</v>
      </c>
      <c r="E69" s="10" t="str">
        <f>IFERROR(VLOOKUP(Tabela55[[#This Row],[Abrev]],Nucleos!$B$2:$G$199,5,0),"Verificar com o setor")</f>
        <v>CAMPOS</v>
      </c>
      <c r="F69" s="10" t="s">
        <v>35</v>
      </c>
    </row>
    <row r="70" spans="1:6">
      <c r="A70" s="10" t="s">
        <v>622</v>
      </c>
      <c r="B70" s="12" t="s">
        <v>623</v>
      </c>
      <c r="C70" s="10" t="s">
        <v>109</v>
      </c>
      <c r="D70" s="10" t="s">
        <v>108</v>
      </c>
      <c r="E70" s="10" t="str">
        <f>IFERROR(VLOOKUP(Tabela55[[#This Row],[Abrev]],Nucleos!$B$2:$G$199,5,0),"Verificar com o setor")</f>
        <v>CAMPOS</v>
      </c>
      <c r="F70" s="10" t="s">
        <v>35</v>
      </c>
    </row>
    <row r="71" spans="1:6">
      <c r="A71" s="10" t="s">
        <v>624</v>
      </c>
      <c r="B71" s="12" t="s">
        <v>625</v>
      </c>
      <c r="C71" s="10" t="s">
        <v>109</v>
      </c>
      <c r="D71" s="10" t="s">
        <v>108</v>
      </c>
      <c r="E71" s="10" t="str">
        <f>IFERROR(VLOOKUP(Tabela55[[#This Row],[Abrev]],Nucleos!$B$2:$G$199,5,0),"Verificar com o setor")</f>
        <v>CAMPOS</v>
      </c>
      <c r="F71" s="10" t="s">
        <v>35</v>
      </c>
    </row>
    <row r="72" spans="1:6">
      <c r="A72" s="10" t="s">
        <v>626</v>
      </c>
      <c r="B72" s="12" t="s">
        <v>627</v>
      </c>
      <c r="C72" s="10" t="s">
        <v>109</v>
      </c>
      <c r="D72" s="10" t="s">
        <v>108</v>
      </c>
      <c r="E72" s="10" t="str">
        <f>IFERROR(VLOOKUP(Tabela55[[#This Row],[Abrev]],Nucleos!$B$2:$G$199,5,0),"Verificar com o setor")</f>
        <v>CAMPOS</v>
      </c>
      <c r="F72" s="10" t="s">
        <v>35</v>
      </c>
    </row>
    <row r="73" spans="1:6">
      <c r="A73" s="10" t="s">
        <v>628</v>
      </c>
      <c r="B73" s="12" t="s">
        <v>629</v>
      </c>
      <c r="C73" s="10" t="s">
        <v>109</v>
      </c>
      <c r="D73" s="10" t="s">
        <v>108</v>
      </c>
      <c r="E73" s="10" t="str">
        <f>IFERROR(VLOOKUP(Tabela55[[#This Row],[Abrev]],Nucleos!$B$2:$G$199,5,0),"Verificar com o setor")</f>
        <v>CAMPOS</v>
      </c>
      <c r="F73" s="10" t="s">
        <v>35</v>
      </c>
    </row>
    <row r="74" spans="1:6">
      <c r="A74" s="10" t="s">
        <v>630</v>
      </c>
      <c r="B74" s="12" t="s">
        <v>631</v>
      </c>
      <c r="C74" s="10" t="s">
        <v>109</v>
      </c>
      <c r="D74" s="10" t="s">
        <v>108</v>
      </c>
      <c r="E74" s="10" t="str">
        <f>IFERROR(VLOOKUP(Tabela55[[#This Row],[Abrev]],Nucleos!$B$2:$G$199,5,0),"Verificar com o setor")</f>
        <v>CAMPOS</v>
      </c>
      <c r="F74" s="10" t="s">
        <v>35</v>
      </c>
    </row>
    <row r="75" spans="1:6">
      <c r="A75" s="10" t="s">
        <v>632</v>
      </c>
      <c r="B75" s="12" t="s">
        <v>633</v>
      </c>
      <c r="C75" s="10" t="s">
        <v>109</v>
      </c>
      <c r="D75" s="10" t="s">
        <v>108</v>
      </c>
      <c r="E75" s="10" t="str">
        <f>IFERROR(VLOOKUP(Tabela55[[#This Row],[Abrev]],Nucleos!$B$2:$G$199,5,0),"Verificar com o setor")</f>
        <v>CAMPOS</v>
      </c>
      <c r="F75" s="10" t="s">
        <v>35</v>
      </c>
    </row>
    <row r="76" spans="1:6">
      <c r="A76" s="10" t="s">
        <v>634</v>
      </c>
      <c r="B76" s="12" t="s">
        <v>635</v>
      </c>
      <c r="C76" s="10" t="s">
        <v>109</v>
      </c>
      <c r="D76" s="10" t="s">
        <v>108</v>
      </c>
      <c r="E76" s="10" t="str">
        <f>IFERROR(VLOOKUP(Tabela55[[#This Row],[Abrev]],Nucleos!$B$2:$G$199,5,0),"Verificar com o setor")</f>
        <v>CAMPOS</v>
      </c>
      <c r="F76" s="10" t="s">
        <v>35</v>
      </c>
    </row>
    <row r="77" spans="1:6">
      <c r="A77" s="10" t="s">
        <v>636</v>
      </c>
      <c r="B77" s="12" t="s">
        <v>637</v>
      </c>
      <c r="C77" s="10" t="s">
        <v>109</v>
      </c>
      <c r="D77" s="10" t="s">
        <v>108</v>
      </c>
      <c r="E77" s="10" t="str">
        <f>IFERROR(VLOOKUP(Tabela55[[#This Row],[Abrev]],Nucleos!$B$2:$G$199,5,0),"Verificar com o setor")</f>
        <v>CAMPOS</v>
      </c>
      <c r="F77" s="10" t="s">
        <v>35</v>
      </c>
    </row>
    <row r="78" spans="1:6">
      <c r="A78" s="10" t="s">
        <v>638</v>
      </c>
      <c r="B78" s="12" t="s">
        <v>639</v>
      </c>
      <c r="C78" s="10" t="s">
        <v>109</v>
      </c>
      <c r="D78" s="10" t="s">
        <v>108</v>
      </c>
      <c r="E78" s="10" t="str">
        <f>IFERROR(VLOOKUP(Tabela55[[#This Row],[Abrev]],Nucleos!$B$2:$G$199,5,0),"Verificar com o setor")</f>
        <v>CAMPOS</v>
      </c>
      <c r="F78" s="10" t="s">
        <v>35</v>
      </c>
    </row>
    <row r="79" spans="1:6">
      <c r="A79" s="11" t="s">
        <v>640</v>
      </c>
      <c r="B79" s="12" t="s">
        <v>112</v>
      </c>
      <c r="C79" s="10" t="s">
        <v>113</v>
      </c>
      <c r="D79" s="10" t="s">
        <v>112</v>
      </c>
      <c r="E79" s="10" t="str">
        <f>IFERROR(VLOOKUP(Tabela55[[#This Row],[Abrev]],Nucleos!$B$2:$G$199,5,0),"Verificar com o setor")</f>
        <v>CURITIBA</v>
      </c>
      <c r="F79" s="10" t="s">
        <v>53</v>
      </c>
    </row>
    <row r="80" spans="1:6">
      <c r="A80" s="11" t="s">
        <v>641</v>
      </c>
      <c r="B80" s="12" t="s">
        <v>642</v>
      </c>
      <c r="C80" s="10" t="s">
        <v>113</v>
      </c>
      <c r="D80" s="10" t="s">
        <v>112</v>
      </c>
      <c r="E80" s="10" t="str">
        <f>IFERROR(VLOOKUP(Tabela55[[#This Row],[Abrev]],Nucleos!$B$2:$G$199,5,0),"Verificar com o setor")</f>
        <v>CURITIBA</v>
      </c>
      <c r="F80" s="10" t="s">
        <v>53</v>
      </c>
    </row>
    <row r="81" spans="1:6">
      <c r="A81" s="11" t="s">
        <v>643</v>
      </c>
      <c r="B81" s="12" t="s">
        <v>644</v>
      </c>
      <c r="C81" s="10" t="s">
        <v>113</v>
      </c>
      <c r="D81" s="10" t="s">
        <v>112</v>
      </c>
      <c r="E81" s="10" t="str">
        <f>IFERROR(VLOOKUP(Tabela55[[#This Row],[Abrev]],Nucleos!$B$2:$G$199,5,0),"Verificar com o setor")</f>
        <v>CURITIBA</v>
      </c>
      <c r="F81" s="10" t="s">
        <v>53</v>
      </c>
    </row>
    <row r="82" spans="1:6">
      <c r="A82" s="11" t="s">
        <v>645</v>
      </c>
      <c r="B82" s="12" t="s">
        <v>646</v>
      </c>
      <c r="C82" s="10" t="s">
        <v>113</v>
      </c>
      <c r="D82" s="10" t="s">
        <v>112</v>
      </c>
      <c r="E82" s="10" t="str">
        <f>IFERROR(VLOOKUP(Tabela55[[#This Row],[Abrev]],Nucleos!$B$2:$G$199,5,0),"Verificar com o setor")</f>
        <v>CURITIBA</v>
      </c>
      <c r="F82" s="10" t="s">
        <v>53</v>
      </c>
    </row>
    <row r="83" spans="1:6">
      <c r="A83" s="10" t="s">
        <v>647</v>
      </c>
      <c r="B83" s="12" t="s">
        <v>648</v>
      </c>
      <c r="C83" s="10" t="s">
        <v>113</v>
      </c>
      <c r="D83" s="10" t="s">
        <v>112</v>
      </c>
      <c r="E83" s="10" t="str">
        <f>IFERROR(VLOOKUP(Tabela55[[#This Row],[Abrev]],Nucleos!$B$2:$G$199,5,0),"Verificar com o setor")</f>
        <v>CURITIBA</v>
      </c>
      <c r="F83" s="10" t="s">
        <v>53</v>
      </c>
    </row>
    <row r="84" spans="1:6">
      <c r="A84" s="10" t="s">
        <v>649</v>
      </c>
      <c r="B84" s="15" t="s">
        <v>650</v>
      </c>
      <c r="C84" s="10" t="s">
        <v>113</v>
      </c>
      <c r="D84" s="10" t="s">
        <v>112</v>
      </c>
      <c r="E84" s="10" t="str">
        <f>IFERROR(VLOOKUP(Tabela55[[#This Row],[Abrev]],Nucleos!$B$2:$G$199,5,0),"Verificar com o setor")</f>
        <v>CURITIBA</v>
      </c>
      <c r="F84" s="10" t="s">
        <v>53</v>
      </c>
    </row>
    <row r="85" spans="1:6">
      <c r="A85" s="10" t="s">
        <v>651</v>
      </c>
      <c r="B85" s="12" t="s">
        <v>652</v>
      </c>
      <c r="C85" s="10" t="s">
        <v>113</v>
      </c>
      <c r="D85" s="10" t="s">
        <v>112</v>
      </c>
      <c r="E85" s="10" t="str">
        <f>IFERROR(VLOOKUP(Tabela55[[#This Row],[Abrev]],Nucleos!$B$2:$G$199,5,0),"Verificar com o setor")</f>
        <v>CURITIBA</v>
      </c>
      <c r="F85" s="10" t="s">
        <v>53</v>
      </c>
    </row>
    <row r="86" spans="1:6">
      <c r="A86" s="10" t="s">
        <v>653</v>
      </c>
      <c r="B86" s="12" t="s">
        <v>654</v>
      </c>
      <c r="C86" s="10" t="s">
        <v>113</v>
      </c>
      <c r="D86" s="10" t="s">
        <v>112</v>
      </c>
      <c r="E86" s="10" t="str">
        <f>IFERROR(VLOOKUP(Tabela55[[#This Row],[Abrev]],Nucleos!$B$2:$G$199,5,0),"Verificar com o setor")</f>
        <v>CURITIBA</v>
      </c>
      <c r="F86" s="10" t="s">
        <v>53</v>
      </c>
    </row>
    <row r="87" spans="1:6">
      <c r="A87" s="11" t="s">
        <v>655</v>
      </c>
      <c r="B87" s="12" t="s">
        <v>173</v>
      </c>
      <c r="C87" s="10" t="s">
        <v>113</v>
      </c>
      <c r="D87" s="10" t="s">
        <v>112</v>
      </c>
      <c r="E87" s="10" t="str">
        <f>IFERROR(VLOOKUP(Tabela55[[#This Row],[Abrev]],Nucleos!$B$2:$G$199,5,0),"Verificar com o setor")</f>
        <v>CURITIBA</v>
      </c>
      <c r="F87" s="10" t="s">
        <v>53</v>
      </c>
    </row>
    <row r="88" spans="1:6">
      <c r="A88" s="11" t="s">
        <v>656</v>
      </c>
      <c r="B88" s="12" t="s">
        <v>657</v>
      </c>
      <c r="C88" s="10" t="s">
        <v>113</v>
      </c>
      <c r="D88" s="10" t="s">
        <v>112</v>
      </c>
      <c r="E88" s="10" t="str">
        <f>IFERROR(VLOOKUP(Tabela55[[#This Row],[Abrev]],Nucleos!$B$2:$G$199,5,0),"Verificar com o setor")</f>
        <v>CURITIBA</v>
      </c>
      <c r="F88" s="10" t="s">
        <v>53</v>
      </c>
    </row>
    <row r="89" spans="1:6">
      <c r="A89" s="10" t="s">
        <v>658</v>
      </c>
      <c r="B89" s="12" t="s">
        <v>272</v>
      </c>
      <c r="C89" s="10" t="s">
        <v>113</v>
      </c>
      <c r="D89" s="10" t="s">
        <v>112</v>
      </c>
      <c r="E89" s="10" t="str">
        <f>IFERROR(VLOOKUP(Tabela55[[#This Row],[Abrev]],Nucleos!$B$2:$G$199,5,0),"Verificar com o setor")</f>
        <v>CURITIBA</v>
      </c>
      <c r="F89" s="10" t="s">
        <v>53</v>
      </c>
    </row>
    <row r="90" spans="1:6">
      <c r="A90" s="10" t="s">
        <v>659</v>
      </c>
      <c r="B90" s="12" t="s">
        <v>660</v>
      </c>
      <c r="C90" s="10" t="s">
        <v>113</v>
      </c>
      <c r="D90" s="10" t="s">
        <v>112</v>
      </c>
      <c r="E90" s="10" t="str">
        <f>IFERROR(VLOOKUP(Tabela55[[#This Row],[Abrev]],Nucleos!$B$2:$G$199,5,0),"Verificar com o setor")</f>
        <v>CURITIBA</v>
      </c>
      <c r="F90" s="10" t="s">
        <v>53</v>
      </c>
    </row>
    <row r="91" spans="1:6">
      <c r="A91" s="10" t="s">
        <v>661</v>
      </c>
      <c r="B91" s="12" t="s">
        <v>662</v>
      </c>
      <c r="C91" s="10" t="s">
        <v>113</v>
      </c>
      <c r="D91" s="10" t="s">
        <v>112</v>
      </c>
      <c r="E91" s="10" t="str">
        <f>IFERROR(VLOOKUP(Tabela55[[#This Row],[Abrev]],Nucleos!$B$2:$G$199,5,0),"Verificar com o setor")</f>
        <v>CURITIBA</v>
      </c>
      <c r="F91" s="10" t="s">
        <v>53</v>
      </c>
    </row>
    <row r="92" spans="1:6">
      <c r="A92" s="10" t="s">
        <v>663</v>
      </c>
      <c r="B92" s="12" t="s">
        <v>664</v>
      </c>
      <c r="C92" s="10" t="s">
        <v>140</v>
      </c>
      <c r="D92" s="10" t="s">
        <v>139</v>
      </c>
      <c r="E92" s="10" t="s">
        <v>49</v>
      </c>
      <c r="F92" s="10" t="s">
        <v>16</v>
      </c>
    </row>
    <row r="93" spans="1:6">
      <c r="A93" s="11" t="s">
        <v>665</v>
      </c>
      <c r="B93" s="12" t="s">
        <v>139</v>
      </c>
      <c r="C93" s="10" t="s">
        <v>140</v>
      </c>
      <c r="D93" s="10" t="s">
        <v>139</v>
      </c>
      <c r="E93" s="10" t="s">
        <v>49</v>
      </c>
      <c r="F93" s="10" t="s">
        <v>16</v>
      </c>
    </row>
    <row r="94" spans="1:6">
      <c r="A94" s="11" t="s">
        <v>666</v>
      </c>
      <c r="B94" s="12" t="s">
        <v>667</v>
      </c>
      <c r="C94" s="10" t="s">
        <v>140</v>
      </c>
      <c r="D94" s="10" t="s">
        <v>139</v>
      </c>
      <c r="E94" s="10" t="s">
        <v>49</v>
      </c>
      <c r="F94" s="10" t="s">
        <v>16</v>
      </c>
    </row>
    <row r="95" spans="1:6">
      <c r="A95" s="11" t="s">
        <v>668</v>
      </c>
      <c r="B95" s="12" t="s">
        <v>669</v>
      </c>
      <c r="C95" s="10" t="s">
        <v>140</v>
      </c>
      <c r="D95" s="10" t="s">
        <v>139</v>
      </c>
      <c r="E95" s="10" t="s">
        <v>49</v>
      </c>
      <c r="F95" s="10" t="s">
        <v>16</v>
      </c>
    </row>
    <row r="96" spans="1:6">
      <c r="A96" s="11" t="s">
        <v>670</v>
      </c>
      <c r="B96" s="12" t="s">
        <v>671</v>
      </c>
      <c r="C96" s="10" t="s">
        <v>140</v>
      </c>
      <c r="D96" s="10" t="s">
        <v>139</v>
      </c>
      <c r="E96" s="10" t="s">
        <v>49</v>
      </c>
      <c r="F96" s="10" t="s">
        <v>16</v>
      </c>
    </row>
    <row r="97" spans="1:6">
      <c r="A97" s="11" t="s">
        <v>672</v>
      </c>
      <c r="B97" s="12" t="s">
        <v>673</v>
      </c>
      <c r="C97" s="10" t="s">
        <v>140</v>
      </c>
      <c r="D97" s="10" t="s">
        <v>139</v>
      </c>
      <c r="E97" s="10" t="s">
        <v>49</v>
      </c>
      <c r="F97" s="10" t="s">
        <v>16</v>
      </c>
    </row>
    <row r="98" spans="1:6">
      <c r="A98" s="10" t="s">
        <v>674</v>
      </c>
      <c r="B98" s="12" t="s">
        <v>155</v>
      </c>
      <c r="C98" s="10" t="s">
        <v>71</v>
      </c>
      <c r="D98" s="10" t="s">
        <v>155</v>
      </c>
      <c r="E98" s="10" t="str">
        <f>IFERROR(VLOOKUP(Tabela55[[#This Row],[Abrev]],Nucleos!$B$2:$G$199,5,0),"Verificar com o setor")</f>
        <v>FLORIANOPOLIS</v>
      </c>
      <c r="F98" s="10" t="s">
        <v>53</v>
      </c>
    </row>
    <row r="99" spans="1:6">
      <c r="A99" s="11" t="s">
        <v>675</v>
      </c>
      <c r="B99" s="12" t="s">
        <v>676</v>
      </c>
      <c r="C99" s="10" t="s">
        <v>275</v>
      </c>
      <c r="D99" s="10" t="s">
        <v>274</v>
      </c>
      <c r="E99" s="10" t="str">
        <f>IFERROR(VLOOKUP(Tabela55[[#This Row],[Abrev]],Nucleos!$B$2:$G$199,5,0),"Verificar com o setor")</f>
        <v>FLORIANOPOLIS</v>
      </c>
      <c r="F99" s="10" t="s">
        <v>53</v>
      </c>
    </row>
    <row r="100" spans="1:6">
      <c r="A100" s="11" t="s">
        <v>677</v>
      </c>
      <c r="B100" s="12" t="s">
        <v>274</v>
      </c>
      <c r="C100" s="10" t="s">
        <v>275</v>
      </c>
      <c r="D100" s="10" t="s">
        <v>274</v>
      </c>
      <c r="E100" s="10" t="str">
        <f>IFERROR(VLOOKUP(Tabela55[[#This Row],[Abrev]],Nucleos!$B$2:$G$199,5,0),"Verificar com o setor")</f>
        <v>FLORIANOPOLIS</v>
      </c>
      <c r="F100" s="10" t="s">
        <v>53</v>
      </c>
    </row>
    <row r="101" spans="1:6">
      <c r="A101" s="11" t="s">
        <v>678</v>
      </c>
      <c r="B101" s="12" t="s">
        <v>679</v>
      </c>
      <c r="C101" s="10" t="s">
        <v>71</v>
      </c>
      <c r="D101" s="10" t="s">
        <v>155</v>
      </c>
      <c r="E101" s="10" t="str">
        <f>IFERROR(VLOOKUP(Tabela55[[#This Row],[Abrev]],Nucleos!$B$2:$G$199,5,0),"Verificar com o setor")</f>
        <v>FLORIANOPOLIS</v>
      </c>
      <c r="F101" s="10" t="s">
        <v>53</v>
      </c>
    </row>
    <row r="102" spans="1:6">
      <c r="A102" s="11" t="s">
        <v>680</v>
      </c>
      <c r="B102" s="12" t="s">
        <v>681</v>
      </c>
      <c r="C102" s="10" t="s">
        <v>71</v>
      </c>
      <c r="D102" s="10" t="s">
        <v>155</v>
      </c>
      <c r="E102" s="10" t="str">
        <f>IFERROR(VLOOKUP(Tabela55[[#This Row],[Abrev]],Nucleos!$B$2:$G$199,5,0),"Verificar com o setor")</f>
        <v>FLORIANOPOLIS</v>
      </c>
      <c r="F102" s="10" t="s">
        <v>53</v>
      </c>
    </row>
    <row r="103" spans="1:6">
      <c r="A103" s="11" t="s">
        <v>682</v>
      </c>
      <c r="B103" s="12" t="s">
        <v>683</v>
      </c>
      <c r="C103" s="10" t="s">
        <v>71</v>
      </c>
      <c r="D103" s="10" t="s">
        <v>155</v>
      </c>
      <c r="E103" s="10" t="str">
        <f>IFERROR(VLOOKUP(Tabela55[[#This Row],[Abrev]],Nucleos!$B$2:$G$199,5,0),"Verificar com o setor")</f>
        <v>FLORIANOPOLIS</v>
      </c>
      <c r="F103" s="10" t="s">
        <v>53</v>
      </c>
    </row>
    <row r="104" spans="1:6">
      <c r="A104" s="11" t="s">
        <v>684</v>
      </c>
      <c r="B104" s="12" t="s">
        <v>685</v>
      </c>
      <c r="C104" s="10" t="s">
        <v>71</v>
      </c>
      <c r="D104" s="10" t="s">
        <v>155</v>
      </c>
      <c r="E104" s="10" t="str">
        <f>IFERROR(VLOOKUP(Tabela55[[#This Row],[Abrev]],Nucleos!$B$2:$G$199,5,0),"Verificar com o setor")</f>
        <v>FLORIANOPOLIS</v>
      </c>
      <c r="F104" s="10" t="s">
        <v>53</v>
      </c>
    </row>
    <row r="105" spans="1:6">
      <c r="A105" s="11" t="s">
        <v>686</v>
      </c>
      <c r="B105" s="12" t="s">
        <v>361</v>
      </c>
      <c r="C105" s="10" t="s">
        <v>71</v>
      </c>
      <c r="D105" s="10" t="s">
        <v>155</v>
      </c>
      <c r="E105" s="10" t="str">
        <f>IFERROR(VLOOKUP(Tabela55[[#This Row],[Abrev]],Nucleos!$B$2:$G$199,5,0),"Verificar com o setor")</f>
        <v>FLORIANOPOLIS</v>
      </c>
      <c r="F105" s="10" t="s">
        <v>53</v>
      </c>
    </row>
    <row r="106" spans="1:6">
      <c r="A106" s="11" t="s">
        <v>687</v>
      </c>
      <c r="B106" s="12" t="s">
        <v>688</v>
      </c>
      <c r="C106" s="10" t="s">
        <v>71</v>
      </c>
      <c r="D106" s="10" t="s">
        <v>155</v>
      </c>
      <c r="E106" s="10" t="str">
        <f>IFERROR(VLOOKUP(Tabela55[[#This Row],[Abrev]],Nucleos!$B$2:$G$199,5,0),"Verificar com o setor")</f>
        <v>FLORIANOPOLIS</v>
      </c>
      <c r="F106" s="10" t="s">
        <v>53</v>
      </c>
    </row>
    <row r="107" spans="1:6">
      <c r="A107" s="11" t="s">
        <v>689</v>
      </c>
      <c r="B107" s="12" t="s">
        <v>690</v>
      </c>
      <c r="C107" s="10" t="s">
        <v>71</v>
      </c>
      <c r="D107" s="10" t="s">
        <v>155</v>
      </c>
      <c r="E107" s="10" t="str">
        <f>IFERROR(VLOOKUP(Tabela55[[#This Row],[Abrev]],Nucleos!$B$2:$G$199,5,0),"Verificar com o setor")</f>
        <v>FLORIANOPOLIS</v>
      </c>
      <c r="F107" s="10" t="s">
        <v>53</v>
      </c>
    </row>
    <row r="108" spans="1:6">
      <c r="A108" s="10" t="s">
        <v>691</v>
      </c>
      <c r="B108" s="12" t="s">
        <v>692</v>
      </c>
      <c r="C108" s="10" t="s">
        <v>71</v>
      </c>
      <c r="D108" s="10" t="s">
        <v>155</v>
      </c>
      <c r="E108" s="10" t="str">
        <f>IFERROR(VLOOKUP(Tabela55[[#This Row],[Abrev]],Nucleos!$B$2:$G$199,5,0),"Verificar com o setor")</f>
        <v>FLORIANOPOLIS</v>
      </c>
      <c r="F108" s="10" t="s">
        <v>53</v>
      </c>
    </row>
    <row r="109" spans="1:6">
      <c r="A109" s="10" t="s">
        <v>693</v>
      </c>
      <c r="B109" s="15" t="s">
        <v>694</v>
      </c>
      <c r="C109" s="10" t="s">
        <v>71</v>
      </c>
      <c r="D109" s="10" t="s">
        <v>155</v>
      </c>
      <c r="E109" s="10" t="str">
        <f>IFERROR(VLOOKUP(Tabela55[[#This Row],[Abrev]],Nucleos!$B$2:$G$199,5,0),"Verificar com o setor")</f>
        <v>FLORIANOPOLIS</v>
      </c>
      <c r="F109" s="10" t="s">
        <v>53</v>
      </c>
    </row>
    <row r="110" spans="1:6">
      <c r="A110" s="10" t="s">
        <v>695</v>
      </c>
      <c r="B110" s="15" t="s">
        <v>696</v>
      </c>
      <c r="C110" s="10" t="s">
        <v>71</v>
      </c>
      <c r="D110" s="10" t="s">
        <v>155</v>
      </c>
      <c r="E110" s="10" t="str">
        <f>IFERROR(VLOOKUP(Tabela55[[#This Row],[Abrev]],Nucleos!$B$2:$G$199,5,0),"Verificar com o setor")</f>
        <v>FLORIANOPOLIS</v>
      </c>
      <c r="F110" s="10" t="s">
        <v>53</v>
      </c>
    </row>
    <row r="111" spans="1:6">
      <c r="A111" s="10" t="s">
        <v>697</v>
      </c>
      <c r="B111" s="15" t="s">
        <v>698</v>
      </c>
      <c r="C111" s="10" t="s">
        <v>71</v>
      </c>
      <c r="D111" s="10" t="s">
        <v>155</v>
      </c>
      <c r="E111" s="10" t="str">
        <f>IFERROR(VLOOKUP(Tabela55[[#This Row],[Abrev]],Nucleos!$B$2:$G$199,5,0),"Verificar com o setor")</f>
        <v>FLORIANOPOLIS</v>
      </c>
      <c r="F111" s="10" t="s">
        <v>53</v>
      </c>
    </row>
    <row r="112" spans="1:6">
      <c r="A112" s="10" t="s">
        <v>699</v>
      </c>
      <c r="B112" s="15" t="s">
        <v>700</v>
      </c>
      <c r="C112" s="10" t="s">
        <v>71</v>
      </c>
      <c r="D112" s="10" t="s">
        <v>155</v>
      </c>
      <c r="E112" s="10" t="str">
        <f>IFERROR(VLOOKUP(Tabela55[[#This Row],[Abrev]],Nucleos!$B$2:$G$199,5,0),"Verificar com o setor")</f>
        <v>FLORIANOPOLIS</v>
      </c>
      <c r="F112" s="10" t="s">
        <v>53</v>
      </c>
    </row>
    <row r="113" spans="1:6">
      <c r="A113" s="10" t="s">
        <v>701</v>
      </c>
      <c r="B113" s="12" t="s">
        <v>702</v>
      </c>
      <c r="C113" s="10" t="s">
        <v>71</v>
      </c>
      <c r="D113" s="10" t="s">
        <v>155</v>
      </c>
      <c r="E113" s="10" t="str">
        <f>IFERROR(VLOOKUP(Tabela55[[#This Row],[Abrev]],Nucleos!$B$2:$G$199,5,0),"Verificar com o setor")</f>
        <v>FLORIANOPOLIS</v>
      </c>
      <c r="F113" s="10" t="s">
        <v>53</v>
      </c>
    </row>
    <row r="114" spans="1:6">
      <c r="A114" s="10" t="s">
        <v>703</v>
      </c>
      <c r="B114" s="12" t="s">
        <v>704</v>
      </c>
      <c r="C114" s="10" t="s">
        <v>71</v>
      </c>
      <c r="D114" s="10" t="s">
        <v>155</v>
      </c>
      <c r="E114" s="10" t="str">
        <f>IFERROR(VLOOKUP(Tabela55[[#This Row],[Abrev]],Nucleos!$B$2:$G$199,5,0),"Verificar com o setor")</f>
        <v>FLORIANOPOLIS</v>
      </c>
      <c r="F114" s="10" t="s">
        <v>53</v>
      </c>
    </row>
    <row r="115" spans="1:6">
      <c r="A115" s="13" t="s">
        <v>705</v>
      </c>
      <c r="B115" s="12" t="s">
        <v>706</v>
      </c>
      <c r="C115" s="10" t="s">
        <v>71</v>
      </c>
      <c r="D115" s="10" t="s">
        <v>155</v>
      </c>
      <c r="E115" s="10" t="str">
        <f>IFERROR(VLOOKUP(Tabela55[[#This Row],[Abrev]],Nucleos!$B$2:$G$199,5,0),"Verificar com o setor")</f>
        <v>FLORIANOPOLIS</v>
      </c>
      <c r="F115" s="10" t="s">
        <v>53</v>
      </c>
    </row>
    <row r="116" spans="1:6">
      <c r="A116" s="10" t="s">
        <v>707</v>
      </c>
      <c r="B116" s="12" t="s">
        <v>708</v>
      </c>
      <c r="C116" s="10" t="s">
        <v>71</v>
      </c>
      <c r="D116" s="10" t="s">
        <v>155</v>
      </c>
      <c r="E116" s="10" t="str">
        <f>IFERROR(VLOOKUP(Tabela55[[#This Row],[Abrev]],Nucleos!$B$2:$G$199,5,0),"Verificar com o setor")</f>
        <v>FLORIANOPOLIS</v>
      </c>
      <c r="F116" s="10" t="s">
        <v>53</v>
      </c>
    </row>
    <row r="117" spans="1:6">
      <c r="A117" s="11" t="s">
        <v>709</v>
      </c>
      <c r="B117" s="12" t="s">
        <v>710</v>
      </c>
      <c r="C117" s="10" t="s">
        <v>71</v>
      </c>
      <c r="D117" s="10" t="s">
        <v>155</v>
      </c>
      <c r="E117" s="10" t="str">
        <f>IFERROR(VLOOKUP(Tabela55[[#This Row],[Abrev]],Nucleos!$B$2:$G$199,5,0),"Verificar com o setor")</f>
        <v>FLORIANOPOLIS</v>
      </c>
      <c r="F117" s="10" t="s">
        <v>53</v>
      </c>
    </row>
    <row r="118" spans="1:6">
      <c r="A118" s="11" t="s">
        <v>711</v>
      </c>
      <c r="B118" s="12" t="s">
        <v>712</v>
      </c>
      <c r="C118" s="10" t="s">
        <v>71</v>
      </c>
      <c r="D118" s="10" t="s">
        <v>155</v>
      </c>
      <c r="E118" s="10" t="str">
        <f>IFERROR(VLOOKUP(Tabela55[[#This Row],[Abrev]],Nucleos!$B$2:$G$199,5,0),"Verificar com o setor")</f>
        <v>FLORIANOPOLIS</v>
      </c>
      <c r="F118" s="10" t="s">
        <v>53</v>
      </c>
    </row>
    <row r="119" spans="1:6">
      <c r="A119" s="10" t="s">
        <v>713</v>
      </c>
      <c r="B119" s="12" t="s">
        <v>714</v>
      </c>
      <c r="C119" s="10" t="s">
        <v>71</v>
      </c>
      <c r="D119" s="10" t="s">
        <v>155</v>
      </c>
      <c r="E119" s="10" t="str">
        <f>IFERROR(VLOOKUP(Tabela55[[#This Row],[Abrev]],Nucleos!$B$2:$G$199,5,0),"Verificar com o setor")</f>
        <v>FLORIANOPOLIS</v>
      </c>
      <c r="F119" s="10" t="s">
        <v>53</v>
      </c>
    </row>
    <row r="120" spans="1:6">
      <c r="A120" s="11" t="s">
        <v>715</v>
      </c>
      <c r="B120" s="12" t="s">
        <v>160</v>
      </c>
      <c r="C120" s="10" t="s">
        <v>160</v>
      </c>
      <c r="D120" s="10" t="s">
        <v>160</v>
      </c>
      <c r="E120" s="10" t="str">
        <f>IFERROR(VLOOKUP(Tabela55[[#This Row],[Abrev]],Nucleos!$B$2:$G$199,5,0),"Verificar com o setor")</f>
        <v>FOZ DO IGUAÇU</v>
      </c>
      <c r="F120" s="10" t="s">
        <v>53</v>
      </c>
    </row>
    <row r="121" spans="1:6">
      <c r="A121" s="11" t="s">
        <v>716</v>
      </c>
      <c r="B121" s="12" t="s">
        <v>717</v>
      </c>
      <c r="C121" s="10" t="s">
        <v>160</v>
      </c>
      <c r="D121" s="10" t="s">
        <v>160</v>
      </c>
      <c r="E121" s="10" t="str">
        <f>IFERROR(VLOOKUP(Tabela55[[#This Row],[Abrev]],Nucleos!$B$2:$G$199,5,0),"Verificar com o setor")</f>
        <v>FOZ DO IGUAÇU</v>
      </c>
      <c r="F121" s="10" t="s">
        <v>53</v>
      </c>
    </row>
    <row r="122" spans="1:6">
      <c r="A122" s="11" t="s">
        <v>718</v>
      </c>
      <c r="B122" s="12" t="s">
        <v>719</v>
      </c>
      <c r="C122" s="10" t="s">
        <v>160</v>
      </c>
      <c r="D122" s="10" t="s">
        <v>160</v>
      </c>
      <c r="E122" s="10" t="str">
        <f>IFERROR(VLOOKUP(Tabela55[[#This Row],[Abrev]],Nucleos!$B$2:$G$199,5,0),"Verificar com o setor")</f>
        <v>FOZ DO IGUAÇU</v>
      </c>
      <c r="F122" s="10" t="s">
        <v>53</v>
      </c>
    </row>
    <row r="123" spans="1:6">
      <c r="A123" s="10" t="s">
        <v>720</v>
      </c>
      <c r="B123" s="12" t="s">
        <v>132</v>
      </c>
      <c r="C123" s="10" t="s">
        <v>160</v>
      </c>
      <c r="D123" s="10" t="s">
        <v>160</v>
      </c>
      <c r="E123" s="10" t="str">
        <f>IFERROR(VLOOKUP(Tabela55[[#This Row],[Abrev]],Nucleos!$B$2:$G$199,5,0),"Verificar com o setor")</f>
        <v>FOZ DO IGUAÇU</v>
      </c>
      <c r="F123" s="10" t="s">
        <v>53</v>
      </c>
    </row>
    <row r="124" spans="1:6">
      <c r="A124" s="10" t="s">
        <v>721</v>
      </c>
      <c r="B124" s="12" t="s">
        <v>722</v>
      </c>
      <c r="C124" s="10" t="s">
        <v>160</v>
      </c>
      <c r="D124" s="10" t="s">
        <v>160</v>
      </c>
      <c r="E124" s="10" t="str">
        <f>IFERROR(VLOOKUP(Tabela55[[#This Row],[Abrev]],Nucleos!$B$2:$G$199,5,0),"Verificar com o setor")</f>
        <v>FOZ DO IGUAÇU</v>
      </c>
      <c r="F124" s="10" t="s">
        <v>53</v>
      </c>
    </row>
    <row r="125" spans="1:6">
      <c r="A125" s="10" t="s">
        <v>723</v>
      </c>
      <c r="B125" s="12" t="s">
        <v>724</v>
      </c>
      <c r="C125" s="10" t="s">
        <v>160</v>
      </c>
      <c r="D125" s="10" t="s">
        <v>160</v>
      </c>
      <c r="E125" s="10" t="str">
        <f>IFERROR(VLOOKUP(Tabela55[[#This Row],[Abrev]],Nucleos!$B$2:$G$199,5,0),"Verificar com o setor")</f>
        <v>FOZ DO IGUAÇU</v>
      </c>
      <c r="F125" s="10" t="s">
        <v>53</v>
      </c>
    </row>
    <row r="126" spans="1:6">
      <c r="A126" s="10" t="s">
        <v>725</v>
      </c>
      <c r="B126" s="12" t="s">
        <v>726</v>
      </c>
      <c r="C126" s="10" t="s">
        <v>160</v>
      </c>
      <c r="D126" s="10" t="s">
        <v>160</v>
      </c>
      <c r="E126" s="10" t="str">
        <f>IFERROR(VLOOKUP(Tabela55[[#This Row],[Abrev]],Nucleos!$B$2:$G$199,5,0),"Verificar com o setor")</f>
        <v>FOZ DO IGUAÇU</v>
      </c>
      <c r="F126" s="10" t="s">
        <v>53</v>
      </c>
    </row>
    <row r="127" spans="1:6">
      <c r="A127" s="10" t="s">
        <v>727</v>
      </c>
      <c r="B127" s="12" t="s">
        <v>728</v>
      </c>
      <c r="C127" s="10" t="s">
        <v>160</v>
      </c>
      <c r="D127" s="10" t="s">
        <v>160</v>
      </c>
      <c r="E127" s="10" t="str">
        <f>IFERROR(VLOOKUP(Tabela55[[#This Row],[Abrev]],Nucleos!$B$2:$G$199,5,0),"Verificar com o setor")</f>
        <v>FOZ DO IGUAÇU</v>
      </c>
      <c r="F127" s="10" t="s">
        <v>53</v>
      </c>
    </row>
    <row r="128" spans="1:6">
      <c r="A128" s="10" t="s">
        <v>729</v>
      </c>
      <c r="B128" s="12" t="s">
        <v>730</v>
      </c>
      <c r="C128" s="10" t="s">
        <v>160</v>
      </c>
      <c r="D128" s="10" t="s">
        <v>160</v>
      </c>
      <c r="E128" s="10" t="str">
        <f>IFERROR(VLOOKUP(Tabela55[[#This Row],[Abrev]],Nucleos!$B$2:$G$199,5,0),"Verificar com o setor")</f>
        <v>FOZ DO IGUAÇU</v>
      </c>
      <c r="F128" s="10" t="s">
        <v>53</v>
      </c>
    </row>
    <row r="129" spans="1:6">
      <c r="A129" s="10" t="s">
        <v>731</v>
      </c>
      <c r="B129" s="12" t="s">
        <v>164</v>
      </c>
      <c r="C129" s="10" t="s">
        <v>732</v>
      </c>
      <c r="D129" s="10" t="s">
        <v>161</v>
      </c>
      <c r="E129" s="10" t="str">
        <f>IFERROR(VLOOKUP(Tabela55[[#This Row],[Abrev]],Nucleos!$B$2:$G$199,5,0),"Verificar com o setor")</f>
        <v>FRIBURGO</v>
      </c>
      <c r="F129" s="10" t="s">
        <v>35</v>
      </c>
    </row>
    <row r="130" spans="1:6">
      <c r="A130" s="10" t="s">
        <v>733</v>
      </c>
      <c r="B130" s="12" t="s">
        <v>734</v>
      </c>
      <c r="C130" s="10" t="s">
        <v>732</v>
      </c>
      <c r="D130" s="10" t="s">
        <v>161</v>
      </c>
      <c r="E130" s="10" t="str">
        <f>IFERROR(VLOOKUP(Tabela55[[#This Row],[Abrev]],Nucleos!$B$2:$G$199,5,0),"Verificar com o setor")</f>
        <v>FRIBURGO</v>
      </c>
      <c r="F130" s="10" t="s">
        <v>35</v>
      </c>
    </row>
    <row r="131" spans="1:6">
      <c r="A131" s="10" t="s">
        <v>735</v>
      </c>
      <c r="B131" s="12" t="s">
        <v>736</v>
      </c>
      <c r="C131" s="10" t="s">
        <v>732</v>
      </c>
      <c r="D131" s="10" t="s">
        <v>161</v>
      </c>
      <c r="E131" s="10" t="str">
        <f>IFERROR(VLOOKUP(Tabela55[[#This Row],[Abrev]],Nucleos!$B$2:$G$199,5,0),"Verificar com o setor")</f>
        <v>FRIBURGO</v>
      </c>
      <c r="F131" s="10" t="s">
        <v>35</v>
      </c>
    </row>
    <row r="132" spans="1:6">
      <c r="A132" s="10" t="s">
        <v>737</v>
      </c>
      <c r="B132" s="12" t="s">
        <v>738</v>
      </c>
      <c r="C132" s="10" t="s">
        <v>732</v>
      </c>
      <c r="D132" s="10" t="s">
        <v>161</v>
      </c>
      <c r="E132" s="10" t="str">
        <f>IFERROR(VLOOKUP(Tabela55[[#This Row],[Abrev]],Nucleos!$B$2:$G$199,5,0),"Verificar com o setor")</f>
        <v>FRIBURGO</v>
      </c>
      <c r="F132" s="10" t="s">
        <v>35</v>
      </c>
    </row>
    <row r="133" spans="1:6">
      <c r="A133" s="10" t="s">
        <v>739</v>
      </c>
      <c r="B133" s="12" t="s">
        <v>740</v>
      </c>
      <c r="C133" s="10" t="s">
        <v>732</v>
      </c>
      <c r="D133" s="10" t="s">
        <v>161</v>
      </c>
      <c r="E133" s="10" t="str">
        <f>IFERROR(VLOOKUP(Tabela55[[#This Row],[Abrev]],Nucleos!$B$2:$G$199,5,0),"Verificar com o setor")</f>
        <v>FRIBURGO</v>
      </c>
      <c r="F133" s="10" t="s">
        <v>35</v>
      </c>
    </row>
    <row r="134" spans="1:6">
      <c r="A134" s="10" t="s">
        <v>741</v>
      </c>
      <c r="B134" s="12" t="s">
        <v>742</v>
      </c>
      <c r="C134" s="10" t="s">
        <v>743</v>
      </c>
      <c r="D134" s="10" t="s">
        <v>161</v>
      </c>
      <c r="E134" s="10" t="str">
        <f>IFERROR(VLOOKUP(Tabela55[[#This Row],[Abrev]],Nucleos!$B$2:$G$199,5,0),"Verificar com o setor")</f>
        <v>FRIBURGO</v>
      </c>
      <c r="F134" s="10" t="s">
        <v>35</v>
      </c>
    </row>
    <row r="135" spans="1:6">
      <c r="A135" s="10" t="s">
        <v>744</v>
      </c>
      <c r="B135" s="12" t="s">
        <v>745</v>
      </c>
      <c r="C135" s="10" t="s">
        <v>743</v>
      </c>
      <c r="D135" s="10" t="s">
        <v>161</v>
      </c>
      <c r="E135" s="10" t="str">
        <f>IFERROR(VLOOKUP(Tabela55[[#This Row],[Abrev]],Nucleos!$B$2:$G$199,5,0),"Verificar com o setor")</f>
        <v>FRIBURGO</v>
      </c>
      <c r="F135" s="10" t="s">
        <v>35</v>
      </c>
    </row>
    <row r="136" spans="1:6">
      <c r="A136" s="10" t="s">
        <v>746</v>
      </c>
      <c r="B136" s="12" t="s">
        <v>747</v>
      </c>
      <c r="C136" s="10" t="s">
        <v>743</v>
      </c>
      <c r="D136" s="10" t="s">
        <v>161</v>
      </c>
      <c r="E136" s="10" t="str">
        <f>IFERROR(VLOOKUP(Tabela55[[#This Row],[Abrev]],Nucleos!$B$2:$G$199,5,0),"Verificar com o setor")</f>
        <v>FRIBURGO</v>
      </c>
      <c r="F136" s="10" t="s">
        <v>35</v>
      </c>
    </row>
    <row r="137" spans="1:6">
      <c r="A137" s="10" t="s">
        <v>748</v>
      </c>
      <c r="B137" s="12" t="s">
        <v>749</v>
      </c>
      <c r="C137" s="10" t="s">
        <v>743</v>
      </c>
      <c r="D137" s="10" t="s">
        <v>161</v>
      </c>
      <c r="E137" s="10" t="str">
        <f>IFERROR(VLOOKUP(Tabela55[[#This Row],[Abrev]],Nucleos!$B$2:$G$199,5,0),"Verificar com o setor")</f>
        <v>FRIBURGO</v>
      </c>
      <c r="F137" s="10" t="s">
        <v>35</v>
      </c>
    </row>
    <row r="138" spans="1:6">
      <c r="A138" s="10" t="s">
        <v>750</v>
      </c>
      <c r="B138" s="12" t="s">
        <v>751</v>
      </c>
      <c r="C138" s="10" t="s">
        <v>743</v>
      </c>
      <c r="D138" s="10" t="s">
        <v>161</v>
      </c>
      <c r="E138" s="10" t="str">
        <f>IFERROR(VLOOKUP(Tabela55[[#This Row],[Abrev]],Nucleos!$B$2:$G$199,5,0),"Verificar com o setor")</f>
        <v>FRIBURGO</v>
      </c>
      <c r="F138" s="10" t="s">
        <v>35</v>
      </c>
    </row>
    <row r="139" spans="1:6">
      <c r="A139" s="10" t="s">
        <v>752</v>
      </c>
      <c r="B139" s="12" t="s">
        <v>753</v>
      </c>
      <c r="C139" s="10" t="s">
        <v>743</v>
      </c>
      <c r="D139" s="10" t="s">
        <v>161</v>
      </c>
      <c r="E139" s="10" t="str">
        <f>IFERROR(VLOOKUP(Tabela55[[#This Row],[Abrev]],Nucleos!$B$2:$G$199,5,0),"Verificar com o setor")</f>
        <v>FRIBURGO</v>
      </c>
      <c r="F139" s="10" t="s">
        <v>35</v>
      </c>
    </row>
    <row r="140" spans="1:6">
      <c r="A140" s="10" t="s">
        <v>754</v>
      </c>
      <c r="B140" s="12" t="s">
        <v>755</v>
      </c>
      <c r="C140" s="10" t="s">
        <v>743</v>
      </c>
      <c r="D140" s="10" t="s">
        <v>161</v>
      </c>
      <c r="E140" s="10" t="str">
        <f>IFERROR(VLOOKUP(Tabela55[[#This Row],[Abrev]],Nucleos!$B$2:$G$199,5,0),"Verificar com o setor")</f>
        <v>FRIBURGO</v>
      </c>
      <c r="F140" s="10" t="s">
        <v>35</v>
      </c>
    </row>
    <row r="141" spans="1:6">
      <c r="A141" s="10" t="s">
        <v>756</v>
      </c>
      <c r="B141" s="12" t="s">
        <v>757</v>
      </c>
      <c r="C141" s="10" t="s">
        <v>732</v>
      </c>
      <c r="D141" s="10" t="s">
        <v>161</v>
      </c>
      <c r="E141" s="10" t="str">
        <f>IFERROR(VLOOKUP(Tabela55[[#This Row],[Abrev]],Nucleos!$B$2:$G$199,5,0),"Verificar com o setor")</f>
        <v>FRIBURGO</v>
      </c>
      <c r="F141" s="10" t="s">
        <v>35</v>
      </c>
    </row>
    <row r="142" spans="1:6">
      <c r="A142" s="10" t="s">
        <v>758</v>
      </c>
      <c r="B142" s="12" t="s">
        <v>759</v>
      </c>
      <c r="C142" s="10" t="s">
        <v>743</v>
      </c>
      <c r="D142" s="10" t="s">
        <v>161</v>
      </c>
      <c r="E142" s="10" t="str">
        <f>IFERROR(VLOOKUP(Tabela55[[#This Row],[Abrev]],Nucleos!$B$2:$G$199,5,0),"Verificar com o setor")</f>
        <v>FRIBURGO</v>
      </c>
      <c r="F142" s="10" t="s">
        <v>35</v>
      </c>
    </row>
    <row r="143" spans="1:6">
      <c r="A143" s="10" t="s">
        <v>760</v>
      </c>
      <c r="B143" s="12" t="s">
        <v>761</v>
      </c>
      <c r="C143" s="10" t="s">
        <v>743</v>
      </c>
      <c r="D143" s="10" t="s">
        <v>161</v>
      </c>
      <c r="E143" s="10" t="str">
        <f>IFERROR(VLOOKUP(Tabela55[[#This Row],[Abrev]],Nucleos!$B$2:$G$199,5,0),"Verificar com o setor")</f>
        <v>FRIBURGO</v>
      </c>
      <c r="F143" s="10" t="s">
        <v>35</v>
      </c>
    </row>
    <row r="144" spans="1:6">
      <c r="A144" s="10" t="s">
        <v>762</v>
      </c>
      <c r="B144" s="15" t="s">
        <v>763</v>
      </c>
      <c r="C144" s="10" t="s">
        <v>732</v>
      </c>
      <c r="D144" s="10" t="s">
        <v>161</v>
      </c>
      <c r="E144" s="10" t="str">
        <f>IFERROR(VLOOKUP(Tabela55[[#This Row],[Abrev]],Nucleos!$B$2:$G$199,5,0),"Verificar com o setor")</f>
        <v>FRIBURGO</v>
      </c>
      <c r="F144" s="10" t="s">
        <v>35</v>
      </c>
    </row>
    <row r="145" spans="1:6">
      <c r="A145" s="10" t="s">
        <v>764</v>
      </c>
      <c r="B145" s="15" t="s">
        <v>765</v>
      </c>
      <c r="C145" s="10" t="s">
        <v>732</v>
      </c>
      <c r="D145" s="10" t="s">
        <v>161</v>
      </c>
      <c r="E145" s="10" t="str">
        <f>IFERROR(VLOOKUP(Tabela55[[#This Row],[Abrev]],Nucleos!$B$2:$G$199,5,0),"Verificar com o setor")</f>
        <v>FRIBURGO</v>
      </c>
      <c r="F145" s="10" t="s">
        <v>35</v>
      </c>
    </row>
    <row r="146" spans="1:6">
      <c r="A146" s="10" t="s">
        <v>766</v>
      </c>
      <c r="B146" s="12" t="s">
        <v>767</v>
      </c>
      <c r="C146" s="10" t="s">
        <v>732</v>
      </c>
      <c r="D146" s="10" t="s">
        <v>161</v>
      </c>
      <c r="E146" s="10" t="str">
        <f>IFERROR(VLOOKUP(Tabela55[[#This Row],[Abrev]],Nucleos!$B$2:$G$199,5,0),"Verificar com o setor")</f>
        <v>FRIBURGO</v>
      </c>
      <c r="F146" s="10" t="s">
        <v>35</v>
      </c>
    </row>
    <row r="147" spans="1:6">
      <c r="A147" s="10" t="s">
        <v>768</v>
      </c>
      <c r="B147" s="12" t="s">
        <v>769</v>
      </c>
      <c r="C147" s="10" t="s">
        <v>163</v>
      </c>
      <c r="D147" s="10" t="s">
        <v>162</v>
      </c>
      <c r="E147" s="10" t="str">
        <f>IFERROR(VLOOKUP(Tabela55[[#This Row],[Abrev]],Nucleos!$B$2:$G$199,5,0),"Verificar com o setor")</f>
        <v>INTERIOR SP</v>
      </c>
      <c r="F147" s="10" t="s">
        <v>16</v>
      </c>
    </row>
    <row r="148" spans="1:6">
      <c r="A148" s="11" t="s">
        <v>770</v>
      </c>
      <c r="B148" s="12" t="s">
        <v>162</v>
      </c>
      <c r="C148" s="10" t="s">
        <v>163</v>
      </c>
      <c r="D148" s="10" t="s">
        <v>162</v>
      </c>
      <c r="E148" s="10" t="str">
        <f>IFERROR(VLOOKUP(Tabela55[[#This Row],[Abrev]],Nucleos!$B$2:$G$199,5,0),"Verificar com o setor")</f>
        <v>INTERIOR SP</v>
      </c>
      <c r="F148" s="10" t="s">
        <v>16</v>
      </c>
    </row>
    <row r="149" spans="1:6">
      <c r="A149" s="10" t="s">
        <v>771</v>
      </c>
      <c r="B149" s="12" t="s">
        <v>772</v>
      </c>
      <c r="C149" s="10" t="s">
        <v>187</v>
      </c>
      <c r="D149" s="10" t="s">
        <v>186</v>
      </c>
      <c r="E149" s="10" t="str">
        <f>IFERROR(VLOOKUP(Tabela55[[#This Row],[Abrev]],Nucleos!$B$2:$G$199,5,0),"Verificar com o setor")</f>
        <v>ITAPERUNA</v>
      </c>
      <c r="F149" s="10" t="s">
        <v>35</v>
      </c>
    </row>
    <row r="150" spans="1:6">
      <c r="A150" s="10" t="s">
        <v>773</v>
      </c>
      <c r="B150" s="12" t="s">
        <v>186</v>
      </c>
      <c r="C150" s="10" t="s">
        <v>187</v>
      </c>
      <c r="D150" s="10" t="s">
        <v>186</v>
      </c>
      <c r="E150" s="10" t="str">
        <f>IFERROR(VLOOKUP(Tabela55[[#This Row],[Abrev]],Nucleos!$B$2:$G$199,5,0),"Verificar com o setor")</f>
        <v>ITAPERUNA</v>
      </c>
      <c r="F150" s="10" t="s">
        <v>35</v>
      </c>
    </row>
    <row r="151" spans="1:6">
      <c r="A151" s="10" t="s">
        <v>774</v>
      </c>
      <c r="B151" s="12" t="s">
        <v>775</v>
      </c>
      <c r="C151" s="10" t="s">
        <v>187</v>
      </c>
      <c r="D151" s="10" t="s">
        <v>186</v>
      </c>
      <c r="E151" s="10" t="str">
        <f>IFERROR(VLOOKUP(Tabela55[[#This Row],[Abrev]],Nucleos!$B$2:$G$199,5,0),"Verificar com o setor")</f>
        <v>ITAPERUNA</v>
      </c>
      <c r="F151" s="10" t="s">
        <v>35</v>
      </c>
    </row>
    <row r="152" spans="1:6">
      <c r="A152" s="10" t="s">
        <v>776</v>
      </c>
      <c r="B152" s="12" t="s">
        <v>777</v>
      </c>
      <c r="C152" s="10" t="s">
        <v>187</v>
      </c>
      <c r="D152" s="10" t="s">
        <v>186</v>
      </c>
      <c r="E152" s="10" t="str">
        <f>IFERROR(VLOOKUP(Tabela55[[#This Row],[Abrev]],Nucleos!$B$2:$G$199,5,0),"Verificar com o setor")</f>
        <v>ITAPERUNA</v>
      </c>
      <c r="F152" s="10" t="s">
        <v>35</v>
      </c>
    </row>
    <row r="153" spans="1:6">
      <c r="A153" s="10" t="s">
        <v>778</v>
      </c>
      <c r="B153" s="12" t="s">
        <v>779</v>
      </c>
      <c r="C153" s="10" t="s">
        <v>187</v>
      </c>
      <c r="D153" s="10" t="s">
        <v>186</v>
      </c>
      <c r="E153" s="10" t="str">
        <f>IFERROR(VLOOKUP(Tabela55[[#This Row],[Abrev]],Nucleos!$B$2:$G$199,5,0),"Verificar com o setor")</f>
        <v>ITAPERUNA</v>
      </c>
      <c r="F153" s="10" t="s">
        <v>35</v>
      </c>
    </row>
    <row r="154" spans="1:6">
      <c r="A154" s="10" t="s">
        <v>780</v>
      </c>
      <c r="B154" s="12" t="s">
        <v>781</v>
      </c>
      <c r="C154" s="10" t="s">
        <v>187</v>
      </c>
      <c r="D154" s="10" t="s">
        <v>186</v>
      </c>
      <c r="E154" s="10" t="str">
        <f>IFERROR(VLOOKUP(Tabela55[[#This Row],[Abrev]],Nucleos!$B$2:$G$199,5,0),"Verificar com o setor")</f>
        <v>ITAPERUNA</v>
      </c>
      <c r="F154" s="10" t="s">
        <v>35</v>
      </c>
    </row>
    <row r="155" spans="1:6">
      <c r="A155" s="10" t="s">
        <v>782</v>
      </c>
      <c r="B155" s="12" t="s">
        <v>783</v>
      </c>
      <c r="C155" s="10" t="s">
        <v>187</v>
      </c>
      <c r="D155" s="10" t="s">
        <v>186</v>
      </c>
      <c r="E155" s="10" t="str">
        <f>IFERROR(VLOOKUP(Tabela55[[#This Row],[Abrev]],Nucleos!$B$2:$G$199,5,0),"Verificar com o setor")</f>
        <v>ITAPERUNA</v>
      </c>
      <c r="F155" s="10" t="s">
        <v>35</v>
      </c>
    </row>
    <row r="156" spans="1:6">
      <c r="A156" s="10" t="s">
        <v>784</v>
      </c>
      <c r="B156" s="12" t="s">
        <v>785</v>
      </c>
      <c r="C156" s="10" t="s">
        <v>187</v>
      </c>
      <c r="D156" s="10" t="s">
        <v>186</v>
      </c>
      <c r="E156" s="10" t="str">
        <f>IFERROR(VLOOKUP(Tabela55[[#This Row],[Abrev]],Nucleos!$B$2:$G$199,5,0),"Verificar com o setor")</f>
        <v>ITAPERUNA</v>
      </c>
      <c r="F156" s="10" t="s">
        <v>35</v>
      </c>
    </row>
    <row r="157" spans="1:6">
      <c r="A157" s="10" t="s">
        <v>786</v>
      </c>
      <c r="B157" s="12" t="s">
        <v>787</v>
      </c>
      <c r="C157" s="10" t="s">
        <v>187</v>
      </c>
      <c r="D157" s="10" t="s">
        <v>186</v>
      </c>
      <c r="E157" s="10" t="str">
        <f>IFERROR(VLOOKUP(Tabela55[[#This Row],[Abrev]],Nucleos!$B$2:$G$199,5,0),"Verificar com o setor")</f>
        <v>ITAPERUNA</v>
      </c>
      <c r="F157" s="10" t="s">
        <v>35</v>
      </c>
    </row>
    <row r="158" spans="1:6">
      <c r="A158" s="10" t="s">
        <v>788</v>
      </c>
      <c r="B158" s="12" t="s">
        <v>789</v>
      </c>
      <c r="C158" s="10" t="s">
        <v>187</v>
      </c>
      <c r="D158" s="10" t="s">
        <v>186</v>
      </c>
      <c r="E158" s="10" t="str">
        <f>IFERROR(VLOOKUP(Tabela55[[#This Row],[Abrev]],Nucleos!$B$2:$G$199,5,0),"Verificar com o setor")</f>
        <v>ITAPERUNA</v>
      </c>
      <c r="F158" s="10" t="s">
        <v>35</v>
      </c>
    </row>
    <row r="159" spans="1:6">
      <c r="A159" s="10" t="s">
        <v>790</v>
      </c>
      <c r="B159" s="12" t="s">
        <v>791</v>
      </c>
      <c r="C159" s="10" t="s">
        <v>187</v>
      </c>
      <c r="D159" s="10" t="s">
        <v>186</v>
      </c>
      <c r="E159" s="10" t="str">
        <f>IFERROR(VLOOKUP(Tabela55[[#This Row],[Abrev]],Nucleos!$B$2:$G$199,5,0),"Verificar com o setor")</f>
        <v>ITAPERUNA</v>
      </c>
      <c r="F159" s="10" t="s">
        <v>35</v>
      </c>
    </row>
    <row r="160" spans="1:6">
      <c r="A160" s="10" t="s">
        <v>792</v>
      </c>
      <c r="B160" s="12" t="s">
        <v>793</v>
      </c>
      <c r="C160" s="10" t="s">
        <v>187</v>
      </c>
      <c r="D160" s="10" t="s">
        <v>186</v>
      </c>
      <c r="E160" s="10" t="str">
        <f>IFERROR(VLOOKUP(Tabela55[[#This Row],[Abrev]],Nucleos!$B$2:$G$199,5,0),"Verificar com o setor")</f>
        <v>ITAPERUNA</v>
      </c>
      <c r="F160" s="10" t="s">
        <v>35</v>
      </c>
    </row>
    <row r="161" spans="1:6">
      <c r="A161" s="10" t="s">
        <v>794</v>
      </c>
      <c r="B161" s="15" t="s">
        <v>795</v>
      </c>
      <c r="C161" s="10" t="s">
        <v>187</v>
      </c>
      <c r="D161" s="10" t="s">
        <v>186</v>
      </c>
      <c r="E161" s="10" t="str">
        <f>IFERROR(VLOOKUP(Tabela55[[#This Row],[Abrev]],Nucleos!$B$2:$G$199,5,0),"Verificar com o setor")</f>
        <v>ITAPERUNA</v>
      </c>
      <c r="F161" s="10" t="s">
        <v>35</v>
      </c>
    </row>
    <row r="162" spans="1:6">
      <c r="A162" s="10" t="s">
        <v>796</v>
      </c>
      <c r="B162" s="15" t="s">
        <v>797</v>
      </c>
      <c r="C162" s="10" t="s">
        <v>187</v>
      </c>
      <c r="D162" s="10" t="s">
        <v>186</v>
      </c>
      <c r="E162" s="10" t="str">
        <f>IFERROR(VLOOKUP(Tabela55[[#This Row],[Abrev]],Nucleos!$B$2:$G$199,5,0),"Verificar com o setor")</f>
        <v>ITAPERUNA</v>
      </c>
      <c r="F162" s="10" t="s">
        <v>35</v>
      </c>
    </row>
    <row r="163" spans="1:6">
      <c r="A163" s="10" t="s">
        <v>798</v>
      </c>
      <c r="B163" s="12" t="s">
        <v>799</v>
      </c>
      <c r="C163" s="10" t="s">
        <v>187</v>
      </c>
      <c r="D163" s="10" t="s">
        <v>186</v>
      </c>
      <c r="E163" s="10" t="str">
        <f>IFERROR(VLOOKUP(Tabela55[[#This Row],[Abrev]],Nucleos!$B$2:$G$199,5,0),"Verificar com o setor")</f>
        <v>ITAPERUNA</v>
      </c>
      <c r="F163" s="10" t="s">
        <v>35</v>
      </c>
    </row>
    <row r="164" spans="1:6">
      <c r="A164" s="10" t="s">
        <v>800</v>
      </c>
      <c r="B164" s="12" t="s">
        <v>801</v>
      </c>
      <c r="C164" s="10" t="s">
        <v>187</v>
      </c>
      <c r="D164" s="10" t="s">
        <v>186</v>
      </c>
      <c r="E164" s="10" t="str">
        <f>IFERROR(VLOOKUP(Tabela55[[#This Row],[Abrev]],Nucleos!$B$2:$G$199,5,0),"Verificar com o setor")</f>
        <v>ITAPERUNA</v>
      </c>
      <c r="F164" s="10" t="s">
        <v>35</v>
      </c>
    </row>
    <row r="165" spans="1:6">
      <c r="A165" s="13" t="s">
        <v>802</v>
      </c>
      <c r="B165" s="12" t="s">
        <v>803</v>
      </c>
      <c r="C165" s="10" t="s">
        <v>187</v>
      </c>
      <c r="D165" s="10" t="s">
        <v>186</v>
      </c>
      <c r="E165" s="10" t="str">
        <f>IFERROR(VLOOKUP(Tabela55[[#This Row],[Abrev]],Nucleos!$B$2:$G$199,5,0),"Verificar com o setor")</f>
        <v>ITAPERUNA</v>
      </c>
      <c r="F165" s="10" t="s">
        <v>35</v>
      </c>
    </row>
    <row r="166" spans="1:6">
      <c r="A166" s="10" t="s">
        <v>804</v>
      </c>
      <c r="B166" s="12" t="s">
        <v>805</v>
      </c>
      <c r="C166" s="10" t="s">
        <v>187</v>
      </c>
      <c r="D166" s="10" t="s">
        <v>186</v>
      </c>
      <c r="E166" s="10" t="str">
        <f>IFERROR(VLOOKUP(Tabela55[[#This Row],[Abrev]],Nucleos!$B$2:$G$199,5,0),"Verificar com o setor")</f>
        <v>ITAPERUNA</v>
      </c>
      <c r="F166" s="10" t="s">
        <v>35</v>
      </c>
    </row>
    <row r="167" spans="1:6">
      <c r="A167" s="10" t="s">
        <v>806</v>
      </c>
      <c r="B167" s="12" t="s">
        <v>807</v>
      </c>
      <c r="C167" s="10" t="s">
        <v>187</v>
      </c>
      <c r="D167" s="10" t="s">
        <v>186</v>
      </c>
      <c r="E167" s="10" t="str">
        <f>IFERROR(VLOOKUP(Tabela55[[#This Row],[Abrev]],Nucleos!$B$2:$G$199,5,0),"Verificar com o setor")</f>
        <v>ITAPERUNA</v>
      </c>
      <c r="F167" s="10" t="s">
        <v>35</v>
      </c>
    </row>
    <row r="168" spans="1:6">
      <c r="A168" s="10" t="s">
        <v>808</v>
      </c>
      <c r="B168" s="12" t="s">
        <v>809</v>
      </c>
      <c r="C168" s="10" t="s">
        <v>187</v>
      </c>
      <c r="D168" s="10" t="s">
        <v>186</v>
      </c>
      <c r="E168" s="10" t="str">
        <f>IFERROR(VLOOKUP(Tabela55[[#This Row],[Abrev]],Nucleos!$B$2:$G$199,5,0),"Verificar com o setor")</f>
        <v>ITAPERUNA</v>
      </c>
      <c r="F168" s="10" t="s">
        <v>35</v>
      </c>
    </row>
    <row r="169" spans="1:6">
      <c r="A169" s="10" t="s">
        <v>810</v>
      </c>
      <c r="B169" s="12" t="s">
        <v>811</v>
      </c>
      <c r="C169" s="10" t="s">
        <v>187</v>
      </c>
      <c r="D169" s="10" t="s">
        <v>186</v>
      </c>
      <c r="E169" s="10" t="str">
        <f>IFERROR(VLOOKUP(Tabela55[[#This Row],[Abrev]],Nucleos!$B$2:$G$199,5,0),"Verificar com o setor")</f>
        <v>ITAPERUNA</v>
      </c>
      <c r="F169" s="10" t="s">
        <v>35</v>
      </c>
    </row>
    <row r="170" spans="1:6">
      <c r="A170" s="10" t="s">
        <v>812</v>
      </c>
      <c r="B170" s="12" t="s">
        <v>813</v>
      </c>
      <c r="C170" s="10" t="s">
        <v>187</v>
      </c>
      <c r="D170" s="10" t="s">
        <v>186</v>
      </c>
      <c r="E170" s="10" t="str">
        <f>IFERROR(VLOOKUP(Tabela55[[#This Row],[Abrev]],Nucleos!$B$2:$G$199,5,0),"Verificar com o setor")</f>
        <v>ITAPERUNA</v>
      </c>
      <c r="F170" s="10" t="s">
        <v>35</v>
      </c>
    </row>
    <row r="171" spans="1:6">
      <c r="A171" s="10" t="s">
        <v>814</v>
      </c>
      <c r="B171" s="12" t="s">
        <v>815</v>
      </c>
      <c r="C171" s="10" t="s">
        <v>199</v>
      </c>
      <c r="D171" s="10" t="s">
        <v>198</v>
      </c>
      <c r="E171" s="10" t="str">
        <f>IFERROR(VLOOKUP(Tabela55[[#This Row],[Abrev]],Nucleos!$B$2:$G$199,5,0),"Verificar com o setor")</f>
        <v>SOROCABA</v>
      </c>
      <c r="F171" s="10" t="s">
        <v>16</v>
      </c>
    </row>
    <row r="172" spans="1:6">
      <c r="A172" s="11" t="s">
        <v>816</v>
      </c>
      <c r="B172" s="12" t="s">
        <v>198</v>
      </c>
      <c r="C172" s="10" t="s">
        <v>199</v>
      </c>
      <c r="D172" s="10" t="s">
        <v>198</v>
      </c>
      <c r="E172" s="10" t="str">
        <f>IFERROR(VLOOKUP(Tabela55[[#This Row],[Abrev]],Nucleos!$B$2:$G$199,5,0),"Verificar com o setor")</f>
        <v>SOROCABA</v>
      </c>
      <c r="F172" s="10" t="s">
        <v>16</v>
      </c>
    </row>
    <row r="173" spans="1:6">
      <c r="A173" s="11" t="s">
        <v>817</v>
      </c>
      <c r="B173" s="12" t="s">
        <v>818</v>
      </c>
      <c r="C173" s="10" t="s">
        <v>204</v>
      </c>
      <c r="D173" s="10" t="s">
        <v>203</v>
      </c>
      <c r="E173" s="10" t="str">
        <f>IFERROR(VLOOKUP(Tabela55[[#This Row],[Abrev]],Nucleos!$B$2:$G$199,5,0),"Verificar com o setor")</f>
        <v>JUIZ DE FORA</v>
      </c>
      <c r="F173" s="10" t="s">
        <v>16</v>
      </c>
    </row>
    <row r="174" spans="1:6">
      <c r="A174" s="11" t="s">
        <v>819</v>
      </c>
      <c r="B174" s="12" t="s">
        <v>820</v>
      </c>
      <c r="C174" s="10" t="s">
        <v>204</v>
      </c>
      <c r="D174" s="10" t="s">
        <v>203</v>
      </c>
      <c r="E174" s="10" t="str">
        <f>IFERROR(VLOOKUP(Tabela55[[#This Row],[Abrev]],Nucleos!$B$2:$G$199,5,0),"Verificar com o setor")</f>
        <v>JUIZ DE FORA</v>
      </c>
      <c r="F174" s="10" t="s">
        <v>16</v>
      </c>
    </row>
    <row r="175" spans="1:6">
      <c r="A175" s="11" t="s">
        <v>821</v>
      </c>
      <c r="B175" s="12" t="s">
        <v>203</v>
      </c>
      <c r="C175" s="10" t="s">
        <v>204</v>
      </c>
      <c r="D175" s="10" t="s">
        <v>203</v>
      </c>
      <c r="E175" s="10" t="str">
        <f>IFERROR(VLOOKUP(Tabela55[[#This Row],[Abrev]],Nucleos!$B$2:$G$199,5,0),"Verificar com o setor")</f>
        <v>JUIZ DE FORA</v>
      </c>
      <c r="F175" s="10" t="s">
        <v>16</v>
      </c>
    </row>
    <row r="176" spans="1:6">
      <c r="A176" s="10" t="s">
        <v>822</v>
      </c>
      <c r="B176" s="12" t="s">
        <v>823</v>
      </c>
      <c r="C176" s="10" t="s">
        <v>204</v>
      </c>
      <c r="D176" s="10" t="s">
        <v>203</v>
      </c>
      <c r="E176" s="10" t="str">
        <f>IFERROR(VLOOKUP(Tabela55[[#This Row],[Abrev]],Nucleos!$B$2:$G$199,5,0),"Verificar com o setor")</f>
        <v>JUIZ DE FORA</v>
      </c>
      <c r="F176" s="10" t="s">
        <v>16</v>
      </c>
    </row>
    <row r="177" spans="1:6">
      <c r="A177" s="11" t="s">
        <v>824</v>
      </c>
      <c r="B177" s="12" t="s">
        <v>208</v>
      </c>
      <c r="C177" s="10" t="s">
        <v>40</v>
      </c>
      <c r="D177" s="10" t="s">
        <v>208</v>
      </c>
      <c r="E177" s="10" t="s">
        <v>40</v>
      </c>
      <c r="F177" s="10" t="s">
        <v>16</v>
      </c>
    </row>
    <row r="178" spans="1:6">
      <c r="A178" s="10" t="s">
        <v>825</v>
      </c>
      <c r="B178" s="12" t="s">
        <v>826</v>
      </c>
      <c r="C178" s="10" t="s">
        <v>40</v>
      </c>
      <c r="D178" s="10" t="s">
        <v>208</v>
      </c>
      <c r="E178" s="10" t="s">
        <v>40</v>
      </c>
      <c r="F178" s="10" t="s">
        <v>16</v>
      </c>
    </row>
    <row r="179" spans="1:6">
      <c r="A179" s="10" t="s">
        <v>827</v>
      </c>
      <c r="B179" s="12" t="s">
        <v>828</v>
      </c>
      <c r="C179" s="10" t="s">
        <v>120</v>
      </c>
      <c r="D179" s="10" t="s">
        <v>222</v>
      </c>
      <c r="E179" s="10" t="str">
        <f>IFERROR(VLOOKUP(Tabela55[[#This Row],[Abrev]],Nucleos!$B$2:$G$199,5,0),"Verificar com o setor")</f>
        <v>JOINVILLE</v>
      </c>
      <c r="F179" s="10" t="s">
        <v>53</v>
      </c>
    </row>
    <row r="180" spans="1:6">
      <c r="A180" s="11" t="s">
        <v>829</v>
      </c>
      <c r="B180" s="12" t="s">
        <v>213</v>
      </c>
      <c r="C180" s="10" t="s">
        <v>120</v>
      </c>
      <c r="D180" s="10" t="s">
        <v>222</v>
      </c>
      <c r="E180" s="10" t="str">
        <f>IFERROR(VLOOKUP(Tabela55[[#This Row],[Abrev]],Nucleos!$B$2:$G$199,5,0),"Verificar com o setor")</f>
        <v>JOINVILLE</v>
      </c>
      <c r="F180" s="10" t="s">
        <v>53</v>
      </c>
    </row>
    <row r="181" spans="1:6">
      <c r="A181" s="11" t="s">
        <v>830</v>
      </c>
      <c r="B181" s="12" t="s">
        <v>222</v>
      </c>
      <c r="C181" s="10" t="s">
        <v>120</v>
      </c>
      <c r="D181" s="10" t="s">
        <v>222</v>
      </c>
      <c r="E181" s="10" t="str">
        <f>IFERROR(VLOOKUP(Tabela55[[#This Row],[Abrev]],Nucleos!$B$2:$G$199,5,0),"Verificar com o setor")</f>
        <v>JOINVILLE</v>
      </c>
      <c r="F181" s="10" t="s">
        <v>53</v>
      </c>
    </row>
    <row r="182" spans="1:6">
      <c r="A182" s="11" t="s">
        <v>831</v>
      </c>
      <c r="B182" s="12" t="s">
        <v>832</v>
      </c>
      <c r="C182" s="10" t="s">
        <v>120</v>
      </c>
      <c r="D182" s="10" t="s">
        <v>222</v>
      </c>
      <c r="E182" s="10" t="str">
        <f>IFERROR(VLOOKUP(Tabela55[[#This Row],[Abrev]],Nucleos!$B$2:$G$199,5,0),"Verificar com o setor")</f>
        <v>JOINVILLE</v>
      </c>
      <c r="F182" s="10" t="s">
        <v>53</v>
      </c>
    </row>
    <row r="183" spans="1:6">
      <c r="A183" s="11" t="s">
        <v>831</v>
      </c>
      <c r="B183" s="12" t="s">
        <v>833</v>
      </c>
      <c r="C183" s="10" t="s">
        <v>120</v>
      </c>
      <c r="D183" s="10" t="s">
        <v>222</v>
      </c>
      <c r="E183" s="10" t="str">
        <f>IFERROR(VLOOKUP(Tabela55[[#This Row],[Abrev]],Nucleos!$B$2:$G$199,5,0),"Verificar com o setor")</f>
        <v>JOINVILLE</v>
      </c>
      <c r="F183" s="10" t="s">
        <v>53</v>
      </c>
    </row>
    <row r="184" spans="1:6">
      <c r="A184" s="11" t="s">
        <v>834</v>
      </c>
      <c r="B184" s="12" t="s">
        <v>835</v>
      </c>
      <c r="C184" s="10" t="s">
        <v>120</v>
      </c>
      <c r="D184" s="10" t="s">
        <v>222</v>
      </c>
      <c r="E184" s="10" t="str">
        <f>IFERROR(VLOOKUP(Tabela55[[#This Row],[Abrev]],Nucleos!$B$2:$G$199,5,0),"Verificar com o setor")</f>
        <v>JOINVILLE</v>
      </c>
      <c r="F184" s="10" t="s">
        <v>53</v>
      </c>
    </row>
    <row r="185" spans="1:6">
      <c r="A185" s="11" t="s">
        <v>836</v>
      </c>
      <c r="B185" s="12" t="s">
        <v>146</v>
      </c>
      <c r="C185" s="10" t="s">
        <v>120</v>
      </c>
      <c r="D185" s="10" t="s">
        <v>222</v>
      </c>
      <c r="E185" s="10" t="str">
        <f>IFERROR(VLOOKUP(Tabela55[[#This Row],[Abrev]],Nucleos!$B$2:$G$199,5,0),"Verificar com o setor")</f>
        <v>JOINVILLE</v>
      </c>
      <c r="F185" s="10" t="s">
        <v>53</v>
      </c>
    </row>
    <row r="186" spans="1:6">
      <c r="A186" s="11" t="s">
        <v>837</v>
      </c>
      <c r="B186" s="12" t="s">
        <v>557</v>
      </c>
      <c r="C186" s="10" t="s">
        <v>120</v>
      </c>
      <c r="D186" s="10" t="s">
        <v>222</v>
      </c>
      <c r="E186" s="10" t="str">
        <f>IFERROR(VLOOKUP(Tabela55[[#This Row],[Abrev]],Nucleos!$B$2:$G$199,5,0),"Verificar com o setor")</f>
        <v>JOINVILLE</v>
      </c>
      <c r="F186" s="10" t="s">
        <v>53</v>
      </c>
    </row>
    <row r="187" spans="1:6">
      <c r="A187" s="10" t="s">
        <v>838</v>
      </c>
      <c r="B187" s="12" t="s">
        <v>839</v>
      </c>
      <c r="C187" s="10" t="s">
        <v>120</v>
      </c>
      <c r="D187" s="10" t="s">
        <v>222</v>
      </c>
      <c r="E187" s="10" t="str">
        <f>IFERROR(VLOOKUP(Tabela55[[#This Row],[Abrev]],Nucleos!$B$2:$G$199,5,0),"Verificar com o setor")</f>
        <v>JOINVILLE</v>
      </c>
      <c r="F187" s="10" t="s">
        <v>53</v>
      </c>
    </row>
    <row r="188" spans="1:6">
      <c r="A188" s="10" t="s">
        <v>840</v>
      </c>
      <c r="B188" s="12" t="s">
        <v>544</v>
      </c>
      <c r="C188" s="10" t="s">
        <v>120</v>
      </c>
      <c r="D188" s="10" t="s">
        <v>222</v>
      </c>
      <c r="E188" s="10" t="str">
        <f>IFERROR(VLOOKUP(Tabela55[[#This Row],[Abrev]],Nucleos!$B$2:$G$199,5,0),"Verificar com o setor")</f>
        <v>JOINVILLE</v>
      </c>
      <c r="F188" s="10" t="s">
        <v>53</v>
      </c>
    </row>
    <row r="189" spans="1:6">
      <c r="A189" s="10" t="s">
        <v>841</v>
      </c>
      <c r="B189" s="12" t="s">
        <v>842</v>
      </c>
      <c r="C189" s="10" t="s">
        <v>120</v>
      </c>
      <c r="D189" s="10" t="s">
        <v>222</v>
      </c>
      <c r="E189" s="10" t="str">
        <f>IFERROR(VLOOKUP(Tabela55[[#This Row],[Abrev]],Nucleos!$B$2:$G$199,5,0),"Verificar com o setor")</f>
        <v>JOINVILLE</v>
      </c>
      <c r="F189" s="10" t="s">
        <v>53</v>
      </c>
    </row>
    <row r="190" spans="1:6">
      <c r="A190" s="10" t="s">
        <v>843</v>
      </c>
      <c r="B190" s="15" t="s">
        <v>844</v>
      </c>
      <c r="C190" s="10" t="s">
        <v>120</v>
      </c>
      <c r="D190" s="10" t="s">
        <v>222</v>
      </c>
      <c r="E190" s="10" t="str">
        <f>IFERROR(VLOOKUP(Tabela55[[#This Row],[Abrev]],Nucleos!$B$2:$G$199,5,0),"Verificar com o setor")</f>
        <v>JOINVILLE</v>
      </c>
      <c r="F190" s="10" t="s">
        <v>53</v>
      </c>
    </row>
    <row r="191" spans="1:6">
      <c r="A191" s="10" t="s">
        <v>845</v>
      </c>
      <c r="B191" s="15" t="s">
        <v>846</v>
      </c>
      <c r="C191" s="10" t="s">
        <v>120</v>
      </c>
      <c r="D191" s="10" t="s">
        <v>222</v>
      </c>
      <c r="E191" s="10" t="str">
        <f>IFERROR(VLOOKUP(Tabela55[[#This Row],[Abrev]],Nucleos!$B$2:$G$199,5,0),"Verificar com o setor")</f>
        <v>JOINVILLE</v>
      </c>
      <c r="F191" s="10" t="s">
        <v>53</v>
      </c>
    </row>
    <row r="192" spans="1:6">
      <c r="A192" s="10" t="s">
        <v>847</v>
      </c>
      <c r="B192" s="12" t="s">
        <v>848</v>
      </c>
      <c r="C192" s="10" t="s">
        <v>120</v>
      </c>
      <c r="D192" s="10" t="s">
        <v>222</v>
      </c>
      <c r="E192" s="10" t="str">
        <f>IFERROR(VLOOKUP(Tabela55[[#This Row],[Abrev]],Nucleos!$B$2:$G$199,5,0),"Verificar com o setor")</f>
        <v>JOINVILLE</v>
      </c>
      <c r="F192" s="10" t="s">
        <v>53</v>
      </c>
    </row>
    <row r="193" spans="1:6">
      <c r="A193" s="11" t="s">
        <v>849</v>
      </c>
      <c r="B193" s="12" t="s">
        <v>850</v>
      </c>
      <c r="C193" s="10" t="s">
        <v>227</v>
      </c>
      <c r="D193" s="10" t="s">
        <v>226</v>
      </c>
      <c r="E193" s="10" t="str">
        <f>IFERROR(VLOOKUP(Tabela55[[#This Row],[Abrev]],Nucleos!$B$2:$G$199,5,0),"Verificar com o setor")</f>
        <v>CURITIBA</v>
      </c>
      <c r="F193" s="10" t="s">
        <v>53</v>
      </c>
    </row>
    <row r="194" spans="1:6">
      <c r="A194" s="11" t="s">
        <v>851</v>
      </c>
      <c r="B194" s="12" t="s">
        <v>852</v>
      </c>
      <c r="C194" s="10" t="s">
        <v>227</v>
      </c>
      <c r="D194" s="10" t="s">
        <v>226</v>
      </c>
      <c r="E194" s="10" t="str">
        <f>IFERROR(VLOOKUP(Tabela55[[#This Row],[Abrev]],Nucleos!$B$2:$G$199,5,0),"Verificar com o setor")</f>
        <v>CURITIBA</v>
      </c>
      <c r="F194" s="10" t="s">
        <v>53</v>
      </c>
    </row>
    <row r="195" spans="1:6">
      <c r="A195" s="11" t="s">
        <v>853</v>
      </c>
      <c r="B195" s="12" t="s">
        <v>854</v>
      </c>
      <c r="C195" s="10" t="s">
        <v>227</v>
      </c>
      <c r="D195" s="10" t="s">
        <v>226</v>
      </c>
      <c r="E195" s="10" t="str">
        <f>IFERROR(VLOOKUP(Tabela55[[#This Row],[Abrev]],Nucleos!$B$2:$G$199,5,0),"Verificar com o setor")</f>
        <v>CURITIBA</v>
      </c>
      <c r="F195" s="10" t="s">
        <v>53</v>
      </c>
    </row>
    <row r="196" spans="1:6">
      <c r="A196" s="11" t="s">
        <v>855</v>
      </c>
      <c r="B196" s="12" t="s">
        <v>856</v>
      </c>
      <c r="C196" s="10" t="s">
        <v>227</v>
      </c>
      <c r="D196" s="10" t="s">
        <v>226</v>
      </c>
      <c r="E196" s="10" t="str">
        <f>IFERROR(VLOOKUP(Tabela55[[#This Row],[Abrev]],Nucleos!$B$2:$G$199,5,0),"Verificar com o setor")</f>
        <v>CURITIBA</v>
      </c>
      <c r="F196" s="10" t="s">
        <v>53</v>
      </c>
    </row>
    <row r="197" spans="1:6">
      <c r="A197" s="11" t="s">
        <v>857</v>
      </c>
      <c r="B197" s="12" t="s">
        <v>858</v>
      </c>
      <c r="C197" s="10" t="s">
        <v>227</v>
      </c>
      <c r="D197" s="10" t="s">
        <v>226</v>
      </c>
      <c r="E197" s="10" t="str">
        <f>IFERROR(VLOOKUP(Tabela55[[#This Row],[Abrev]],Nucleos!$B$2:$G$199,5,0),"Verificar com o setor")</f>
        <v>CURITIBA</v>
      </c>
      <c r="F197" s="10" t="s">
        <v>53</v>
      </c>
    </row>
    <row r="198" spans="1:6">
      <c r="A198" s="11" t="s">
        <v>859</v>
      </c>
      <c r="B198" s="12" t="s">
        <v>860</v>
      </c>
      <c r="C198" s="10" t="s">
        <v>227</v>
      </c>
      <c r="D198" s="10" t="s">
        <v>226</v>
      </c>
      <c r="E198" s="10" t="str">
        <f>IFERROR(VLOOKUP(Tabela55[[#This Row],[Abrev]],Nucleos!$B$2:$G$199,5,0),"Verificar com o setor")</f>
        <v>CURITIBA</v>
      </c>
      <c r="F198" s="10" t="s">
        <v>53</v>
      </c>
    </row>
    <row r="199" spans="1:6">
      <c r="A199" s="11" t="s">
        <v>861</v>
      </c>
      <c r="B199" s="12" t="s">
        <v>226</v>
      </c>
      <c r="C199" s="10" t="s">
        <v>227</v>
      </c>
      <c r="D199" s="16" t="s">
        <v>226</v>
      </c>
      <c r="E199" s="10" t="str">
        <f>IFERROR(VLOOKUP(Tabela55[[#This Row],[Abrev]],Nucleos!$B$2:$G$199,5,0),"Verificar com o setor")</f>
        <v>CURITIBA</v>
      </c>
      <c r="F199" s="10" t="s">
        <v>53</v>
      </c>
    </row>
    <row r="200" spans="1:6">
      <c r="A200" s="11" t="s">
        <v>862</v>
      </c>
      <c r="B200" s="12" t="s">
        <v>231</v>
      </c>
      <c r="C200" s="10" t="s">
        <v>232</v>
      </c>
      <c r="D200" s="10" t="s">
        <v>231</v>
      </c>
      <c r="E200" s="10" t="str">
        <f>IFERROR(VLOOKUP(Tabela55[[#This Row],[Abrev]],Nucleos!$B$2:$G$199,5,0),"Verificar com o setor")</f>
        <v>FLORIANOPOLIS</v>
      </c>
      <c r="F200" s="10" t="s">
        <v>53</v>
      </c>
    </row>
    <row r="201" spans="1:6">
      <c r="A201" s="10" t="s">
        <v>863</v>
      </c>
      <c r="B201" s="15" t="s">
        <v>864</v>
      </c>
      <c r="C201" s="10" t="s">
        <v>232</v>
      </c>
      <c r="D201" s="10" t="s">
        <v>231</v>
      </c>
      <c r="E201" s="10" t="str">
        <f>IFERROR(VLOOKUP(Tabela55[[#This Row],[Abrev]],Nucleos!$B$2:$G$199,5,0),"Verificar com o setor")</f>
        <v>FLORIANOPOLIS</v>
      </c>
      <c r="F201" s="10" t="s">
        <v>53</v>
      </c>
    </row>
    <row r="202" spans="1:6">
      <c r="A202" s="10" t="s">
        <v>865</v>
      </c>
      <c r="B202" s="15" t="s">
        <v>866</v>
      </c>
      <c r="C202" s="10" t="s">
        <v>232</v>
      </c>
      <c r="D202" s="10" t="s">
        <v>231</v>
      </c>
      <c r="E202" s="10" t="str">
        <f>IFERROR(VLOOKUP(Tabela55[[#This Row],[Abrev]],Nucleos!$B$2:$G$199,5,0),"Verificar com o setor")</f>
        <v>FLORIANOPOLIS</v>
      </c>
      <c r="F202" s="10" t="s">
        <v>53</v>
      </c>
    </row>
    <row r="203" spans="1:6">
      <c r="A203" s="10" t="s">
        <v>867</v>
      </c>
      <c r="B203" s="15" t="s">
        <v>868</v>
      </c>
      <c r="C203" s="10" t="s">
        <v>232</v>
      </c>
      <c r="D203" s="10" t="s">
        <v>231</v>
      </c>
      <c r="E203" s="10" t="str">
        <f>IFERROR(VLOOKUP(Tabela55[[#This Row],[Abrev]],Nucleos!$B$2:$G$199,5,0),"Verificar com o setor")</f>
        <v>FLORIANOPOLIS</v>
      </c>
      <c r="F203" s="10" t="s">
        <v>53</v>
      </c>
    </row>
    <row r="204" spans="1:6">
      <c r="A204" s="10" t="s">
        <v>869</v>
      </c>
      <c r="B204" s="12" t="s">
        <v>870</v>
      </c>
      <c r="C204" s="10" t="s">
        <v>232</v>
      </c>
      <c r="D204" s="10" t="s">
        <v>231</v>
      </c>
      <c r="E204" s="10" t="str">
        <f>IFERROR(VLOOKUP(Tabela55[[#This Row],[Abrev]],Nucleos!$B$2:$G$199,5,0),"Verificar com o setor")</f>
        <v>FLORIANOPOLIS</v>
      </c>
      <c r="F204" s="10" t="s">
        <v>53</v>
      </c>
    </row>
    <row r="205" spans="1:6">
      <c r="A205" s="10" t="s">
        <v>871</v>
      </c>
      <c r="B205" s="12" t="s">
        <v>872</v>
      </c>
      <c r="C205" s="10" t="s">
        <v>232</v>
      </c>
      <c r="D205" s="10" t="s">
        <v>231</v>
      </c>
      <c r="E205" s="10" t="str">
        <f>IFERROR(VLOOKUP(Tabela55[[#This Row],[Abrev]],Nucleos!$B$2:$G$199,5,0),"Verificar com o setor")</f>
        <v>FLORIANOPOLIS</v>
      </c>
      <c r="F205" s="10" t="s">
        <v>53</v>
      </c>
    </row>
    <row r="206" spans="1:6">
      <c r="A206" s="11" t="s">
        <v>873</v>
      </c>
      <c r="B206" s="12" t="s">
        <v>874</v>
      </c>
      <c r="C206" s="10" t="s">
        <v>234</v>
      </c>
      <c r="D206" s="10" t="s">
        <v>233</v>
      </c>
      <c r="E206" s="10" t="s">
        <v>204</v>
      </c>
      <c r="F206" s="10" t="s">
        <v>16</v>
      </c>
    </row>
    <row r="207" spans="1:6">
      <c r="A207" s="11" t="s">
        <v>875</v>
      </c>
      <c r="B207" s="12" t="s">
        <v>233</v>
      </c>
      <c r="C207" s="10" t="s">
        <v>234</v>
      </c>
      <c r="D207" s="10" t="s">
        <v>233</v>
      </c>
      <c r="E207" s="10" t="s">
        <v>204</v>
      </c>
      <c r="F207" s="10" t="s">
        <v>16</v>
      </c>
    </row>
    <row r="208" spans="1:6">
      <c r="A208" s="10" t="s">
        <v>876</v>
      </c>
      <c r="B208" s="12" t="s">
        <v>877</v>
      </c>
      <c r="C208" s="10" t="s">
        <v>234</v>
      </c>
      <c r="D208" s="10" t="s">
        <v>233</v>
      </c>
      <c r="E208" s="10" t="s">
        <v>204</v>
      </c>
      <c r="F208" s="10" t="s">
        <v>16</v>
      </c>
    </row>
    <row r="209" spans="1:6">
      <c r="A209" s="10" t="s">
        <v>878</v>
      </c>
      <c r="B209" s="12" t="s">
        <v>879</v>
      </c>
      <c r="C209" s="10" t="s">
        <v>234</v>
      </c>
      <c r="D209" s="10" t="s">
        <v>233</v>
      </c>
      <c r="E209" s="10" t="s">
        <v>204</v>
      </c>
      <c r="F209" s="10" t="s">
        <v>16</v>
      </c>
    </row>
    <row r="210" spans="1:6">
      <c r="A210" s="10" t="s">
        <v>880</v>
      </c>
      <c r="B210" s="12" t="s">
        <v>881</v>
      </c>
      <c r="C210" s="10" t="s">
        <v>234</v>
      </c>
      <c r="D210" s="10" t="s">
        <v>233</v>
      </c>
      <c r="E210" s="10" t="s">
        <v>204</v>
      </c>
      <c r="F210" s="10" t="s">
        <v>16</v>
      </c>
    </row>
    <row r="211" spans="1:6">
      <c r="A211" s="10" t="s">
        <v>882</v>
      </c>
      <c r="B211" s="12" t="s">
        <v>883</v>
      </c>
      <c r="C211" s="10" t="s">
        <v>884</v>
      </c>
      <c r="D211" s="10" t="s">
        <v>241</v>
      </c>
      <c r="E211" s="10" t="str">
        <f>IFERROR(VLOOKUP(Tabela55[[#This Row],[Abrev]],Nucleos!$B$2:$G$199,5,0),"Verificar com o setor")</f>
        <v>MACAE</v>
      </c>
      <c r="F211" s="10" t="s">
        <v>35</v>
      </c>
    </row>
    <row r="212" spans="1:6">
      <c r="A212" s="10" t="s">
        <v>885</v>
      </c>
      <c r="B212" s="12" t="s">
        <v>886</v>
      </c>
      <c r="C212" s="10" t="s">
        <v>884</v>
      </c>
      <c r="D212" s="10" t="s">
        <v>241</v>
      </c>
      <c r="E212" s="10" t="str">
        <f>IFERROR(VLOOKUP(Tabela55[[#This Row],[Abrev]],Nucleos!$B$2:$G$199,5,0),"Verificar com o setor")</f>
        <v>MACAE</v>
      </c>
      <c r="F212" s="10" t="s">
        <v>35</v>
      </c>
    </row>
    <row r="213" spans="1:6">
      <c r="A213" s="10" t="s">
        <v>887</v>
      </c>
      <c r="B213" s="12" t="s">
        <v>241</v>
      </c>
      <c r="C213" s="10" t="s">
        <v>884</v>
      </c>
      <c r="D213" s="10" t="s">
        <v>241</v>
      </c>
      <c r="E213" s="10" t="str">
        <f>IFERROR(VLOOKUP(Tabela55[[#This Row],[Abrev]],Nucleos!$B$2:$G$199,5,0),"Verificar com o setor")</f>
        <v>MACAE</v>
      </c>
      <c r="F213" s="10" t="s">
        <v>35</v>
      </c>
    </row>
    <row r="214" spans="1:6">
      <c r="A214" s="10" t="s">
        <v>888</v>
      </c>
      <c r="B214" s="12" t="s">
        <v>889</v>
      </c>
      <c r="C214" s="10" t="s">
        <v>884</v>
      </c>
      <c r="D214" s="10" t="s">
        <v>241</v>
      </c>
      <c r="E214" s="10" t="str">
        <f>IFERROR(VLOOKUP(Tabela55[[#This Row],[Abrev]],Nucleos!$B$2:$G$199,5,0),"Verificar com o setor")</f>
        <v>MACAE</v>
      </c>
      <c r="F214" s="10" t="s">
        <v>35</v>
      </c>
    </row>
    <row r="215" spans="1:6">
      <c r="A215" s="10" t="s">
        <v>890</v>
      </c>
      <c r="B215" s="12" t="s">
        <v>891</v>
      </c>
      <c r="C215" s="10" t="s">
        <v>884</v>
      </c>
      <c r="D215" s="10" t="s">
        <v>241</v>
      </c>
      <c r="E215" s="10" t="str">
        <f>IFERROR(VLOOKUP(Tabela55[[#This Row],[Abrev]],Nucleos!$B$2:$G$199,5,0),"Verificar com o setor")</f>
        <v>MACAE</v>
      </c>
      <c r="F215" s="10" t="s">
        <v>35</v>
      </c>
    </row>
    <row r="216" spans="1:6">
      <c r="A216" s="10" t="s">
        <v>892</v>
      </c>
      <c r="B216" s="12" t="s">
        <v>893</v>
      </c>
      <c r="C216" s="10" t="s">
        <v>884</v>
      </c>
      <c r="D216" s="10" t="s">
        <v>241</v>
      </c>
      <c r="E216" s="10" t="str">
        <f>IFERROR(VLOOKUP(Tabela55[[#This Row],[Abrev]],Nucleos!$B$2:$G$199,5,0),"Verificar com o setor")</f>
        <v>MACAE</v>
      </c>
      <c r="F216" s="10" t="s">
        <v>35</v>
      </c>
    </row>
    <row r="217" spans="1:6">
      <c r="A217" s="10" t="s">
        <v>894</v>
      </c>
      <c r="B217" s="12" t="s">
        <v>895</v>
      </c>
      <c r="C217" s="10" t="s">
        <v>884</v>
      </c>
      <c r="D217" s="10" t="s">
        <v>241</v>
      </c>
      <c r="E217" s="10" t="str">
        <f>IFERROR(VLOOKUP(Tabela55[[#This Row],[Abrev]],Nucleos!$B$2:$G$199,5,0),"Verificar com o setor")</f>
        <v>MACAE</v>
      </c>
      <c r="F217" s="10" t="s">
        <v>35</v>
      </c>
    </row>
    <row r="218" spans="1:6">
      <c r="A218" s="10" t="s">
        <v>896</v>
      </c>
      <c r="B218" s="12" t="s">
        <v>283</v>
      </c>
      <c r="C218" s="10" t="s">
        <v>884</v>
      </c>
      <c r="D218" s="10" t="s">
        <v>241</v>
      </c>
      <c r="E218" s="10" t="str">
        <f>IFERROR(VLOOKUP(Tabela55[[#This Row],[Abrev]],Nucleos!$B$2:$G$199,5,0),"Verificar com o setor")</f>
        <v>MACAE</v>
      </c>
      <c r="F218" s="10" t="s">
        <v>35</v>
      </c>
    </row>
    <row r="219" spans="1:6">
      <c r="A219" s="10" t="s">
        <v>897</v>
      </c>
      <c r="B219" s="12" t="s">
        <v>898</v>
      </c>
      <c r="C219" s="10" t="s">
        <v>884</v>
      </c>
      <c r="D219" s="10" t="s">
        <v>241</v>
      </c>
      <c r="E219" s="10" t="str">
        <f>IFERROR(VLOOKUP(Tabela55[[#This Row],[Abrev]],Nucleos!$B$2:$G$199,5,0),"Verificar com o setor")</f>
        <v>MACAE</v>
      </c>
      <c r="F219" s="10" t="s">
        <v>35</v>
      </c>
    </row>
    <row r="220" spans="1:6">
      <c r="A220" s="10" t="s">
        <v>899</v>
      </c>
      <c r="B220" s="12" t="s">
        <v>900</v>
      </c>
      <c r="C220" s="10" t="s">
        <v>884</v>
      </c>
      <c r="D220" s="10" t="s">
        <v>241</v>
      </c>
      <c r="E220" s="10" t="str">
        <f>IFERROR(VLOOKUP(Tabela55[[#This Row],[Abrev]],Nucleos!$B$2:$G$199,5,0),"Verificar com o setor")</f>
        <v>MACAE</v>
      </c>
      <c r="F220" s="10" t="s">
        <v>35</v>
      </c>
    </row>
    <row r="221" spans="1:6">
      <c r="A221" s="10" t="s">
        <v>901</v>
      </c>
      <c r="B221" s="12" t="s">
        <v>902</v>
      </c>
      <c r="C221" s="10" t="s">
        <v>884</v>
      </c>
      <c r="D221" s="10" t="s">
        <v>241</v>
      </c>
      <c r="E221" s="10" t="str">
        <f>IFERROR(VLOOKUP(Tabela55[[#This Row],[Abrev]],Nucleos!$B$2:$G$199,5,0),"Verificar com o setor")</f>
        <v>MACAE</v>
      </c>
      <c r="F221" s="10" t="s">
        <v>35</v>
      </c>
    </row>
    <row r="222" spans="1:6">
      <c r="A222" s="10" t="s">
        <v>903</v>
      </c>
      <c r="B222" s="12" t="s">
        <v>904</v>
      </c>
      <c r="C222" s="10" t="s">
        <v>884</v>
      </c>
      <c r="D222" s="10" t="s">
        <v>241</v>
      </c>
      <c r="E222" s="10" t="str">
        <f>IFERROR(VLOOKUP(Tabela55[[#This Row],[Abrev]],Nucleos!$B$2:$G$199,5,0),"Verificar com o setor")</f>
        <v>MACAE</v>
      </c>
      <c r="F222" s="10" t="s">
        <v>35</v>
      </c>
    </row>
    <row r="223" spans="1:6">
      <c r="A223" s="10" t="s">
        <v>905</v>
      </c>
      <c r="B223" s="15" t="s">
        <v>906</v>
      </c>
      <c r="C223" s="10" t="s">
        <v>884</v>
      </c>
      <c r="D223" s="10" t="s">
        <v>241</v>
      </c>
      <c r="E223" s="10" t="str">
        <f>IFERROR(VLOOKUP(Tabela55[[#This Row],[Abrev]],Nucleos!$B$2:$G$199,5,0),"Verificar com o setor")</f>
        <v>MACAE</v>
      </c>
      <c r="F223" s="10" t="s">
        <v>35</v>
      </c>
    </row>
    <row r="224" spans="1:6">
      <c r="A224" s="10" t="s">
        <v>907</v>
      </c>
      <c r="B224" s="15" t="s">
        <v>908</v>
      </c>
      <c r="C224" s="10" t="s">
        <v>884</v>
      </c>
      <c r="D224" s="10" t="s">
        <v>241</v>
      </c>
      <c r="E224" s="10" t="str">
        <f>IFERROR(VLOOKUP(Tabela55[[#This Row],[Abrev]],Nucleos!$B$2:$G$199,5,0),"Verificar com o setor")</f>
        <v>MACAE</v>
      </c>
      <c r="F224" s="10" t="s">
        <v>35</v>
      </c>
    </row>
    <row r="225" spans="1:6">
      <c r="A225" s="10" t="s">
        <v>909</v>
      </c>
      <c r="B225" s="15" t="s">
        <v>910</v>
      </c>
      <c r="C225" s="10" t="s">
        <v>884</v>
      </c>
      <c r="D225" s="10" t="s">
        <v>241</v>
      </c>
      <c r="E225" s="10" t="str">
        <f>IFERROR(VLOOKUP(Tabela55[[#This Row],[Abrev]],Nucleos!$B$2:$G$199,5,0),"Verificar com o setor")</f>
        <v>MACAE</v>
      </c>
      <c r="F225" s="10" t="s">
        <v>35</v>
      </c>
    </row>
    <row r="226" spans="1:6">
      <c r="A226" s="10" t="s">
        <v>911</v>
      </c>
      <c r="B226" s="12" t="s">
        <v>912</v>
      </c>
      <c r="C226" s="10" t="s">
        <v>884</v>
      </c>
      <c r="D226" s="10" t="s">
        <v>241</v>
      </c>
      <c r="E226" s="10" t="str">
        <f>IFERROR(VLOOKUP(Tabela55[[#This Row],[Abrev]],Nucleos!$B$2:$G$199,5,0),"Verificar com o setor")</f>
        <v>MACAE</v>
      </c>
      <c r="F226" s="10" t="s">
        <v>35</v>
      </c>
    </row>
    <row r="227" spans="1:6">
      <c r="A227" s="10" t="s">
        <v>913</v>
      </c>
      <c r="B227" s="12" t="s">
        <v>914</v>
      </c>
      <c r="C227" s="10" t="s">
        <v>884</v>
      </c>
      <c r="D227" s="10" t="s">
        <v>241</v>
      </c>
      <c r="E227" s="10" t="str">
        <f>IFERROR(VLOOKUP(Tabela55[[#This Row],[Abrev]],Nucleos!$B$2:$G$199,5,0),"Verificar com o setor")</f>
        <v>MACAE</v>
      </c>
      <c r="F227" s="10" t="s">
        <v>35</v>
      </c>
    </row>
    <row r="228" spans="1:6">
      <c r="A228" s="10" t="s">
        <v>915</v>
      </c>
      <c r="B228" s="12" t="s">
        <v>916</v>
      </c>
      <c r="C228" s="10" t="s">
        <v>884</v>
      </c>
      <c r="D228" s="10" t="s">
        <v>241</v>
      </c>
      <c r="E228" s="10" t="str">
        <f>IFERROR(VLOOKUP(Tabela55[[#This Row],[Abrev]],Nucleos!$B$2:$G$199,5,0),"Verificar com o setor")</f>
        <v>MACAE</v>
      </c>
      <c r="F228" s="10" t="s">
        <v>35</v>
      </c>
    </row>
    <row r="229" spans="1:6">
      <c r="A229" s="10" t="s">
        <v>917</v>
      </c>
      <c r="B229" s="12" t="s">
        <v>918</v>
      </c>
      <c r="C229" s="10" t="s">
        <v>884</v>
      </c>
      <c r="D229" s="10" t="s">
        <v>241</v>
      </c>
      <c r="E229" s="10" t="str">
        <f>IFERROR(VLOOKUP(Tabela55[[#This Row],[Abrev]],Nucleos!$B$2:$G$199,5,0),"Verificar com o setor")</f>
        <v>MACAE</v>
      </c>
      <c r="F229" s="10" t="s">
        <v>35</v>
      </c>
    </row>
    <row r="230" spans="1:6">
      <c r="A230" s="10" t="s">
        <v>919</v>
      </c>
      <c r="B230" s="12" t="s">
        <v>920</v>
      </c>
      <c r="C230" s="10" t="s">
        <v>884</v>
      </c>
      <c r="D230" s="10" t="s">
        <v>241</v>
      </c>
      <c r="E230" s="10" t="str">
        <f>IFERROR(VLOOKUP(Tabela55[[#This Row],[Abrev]],Nucleos!$B$2:$G$199,5,0),"Verificar com o setor")</f>
        <v>MACAE</v>
      </c>
      <c r="F230" s="10" t="s">
        <v>35</v>
      </c>
    </row>
    <row r="231" spans="1:6">
      <c r="A231" s="10" t="s">
        <v>921</v>
      </c>
      <c r="B231" s="12" t="s">
        <v>922</v>
      </c>
      <c r="C231" s="10" t="s">
        <v>884</v>
      </c>
      <c r="D231" s="10" t="s">
        <v>241</v>
      </c>
      <c r="E231" s="10" t="str">
        <f>IFERROR(VLOOKUP(Tabela55[[#This Row],[Abrev]],Nucleos!$B$2:$G$199,5,0),"Verificar com o setor")</f>
        <v>MACAE</v>
      </c>
      <c r="F231" s="10" t="s">
        <v>35</v>
      </c>
    </row>
    <row r="232" spans="1:6">
      <c r="A232" s="10" t="s">
        <v>923</v>
      </c>
      <c r="B232" s="12" t="s">
        <v>924</v>
      </c>
      <c r="C232" s="10" t="s">
        <v>884</v>
      </c>
      <c r="D232" s="10" t="s">
        <v>241</v>
      </c>
      <c r="E232" s="10" t="str">
        <f>IFERROR(VLOOKUP(Tabela55[[#This Row],[Abrev]],Nucleos!$B$2:$G$199,5,0),"Verificar com o setor")</f>
        <v>MACAE</v>
      </c>
      <c r="F232" s="10" t="s">
        <v>35</v>
      </c>
    </row>
    <row r="233" spans="1:6">
      <c r="A233" s="10" t="s">
        <v>925</v>
      </c>
      <c r="B233" s="12" t="s">
        <v>926</v>
      </c>
      <c r="C233" s="10" t="s">
        <v>927</v>
      </c>
      <c r="D233" s="10" t="s">
        <v>261</v>
      </c>
      <c r="E233" s="10" t="str">
        <f>IFERROR(VLOOKUP(Tabela55[[#This Row],[Abrev]],Nucleos!$B$2:$G$199,5,0),"Verificar com o setor")</f>
        <v>MARUI</v>
      </c>
      <c r="F233" s="10" t="s">
        <v>35</v>
      </c>
    </row>
    <row r="234" spans="1:6">
      <c r="A234" s="10" t="s">
        <v>928</v>
      </c>
      <c r="B234" s="12" t="s">
        <v>929</v>
      </c>
      <c r="C234" s="10" t="s">
        <v>927</v>
      </c>
      <c r="D234" s="10" t="s">
        <v>261</v>
      </c>
      <c r="E234" s="10" t="str">
        <f>IFERROR(VLOOKUP(Tabela55[[#This Row],[Abrev]],Nucleos!$B$2:$G$199,5,0),"Verificar com o setor")</f>
        <v>MARUI</v>
      </c>
      <c r="F234" s="10" t="s">
        <v>35</v>
      </c>
    </row>
    <row r="235" spans="1:6">
      <c r="A235" s="11" t="s">
        <v>930</v>
      </c>
      <c r="B235" s="12" t="s">
        <v>931</v>
      </c>
      <c r="C235" s="10" t="s">
        <v>265</v>
      </c>
      <c r="D235" s="10" t="s">
        <v>264</v>
      </c>
      <c r="E235" s="10" t="s">
        <v>49</v>
      </c>
      <c r="F235" s="10" t="s">
        <v>16</v>
      </c>
    </row>
    <row r="236" spans="1:6">
      <c r="A236" s="11" t="s">
        <v>932</v>
      </c>
      <c r="B236" s="12" t="s">
        <v>933</v>
      </c>
      <c r="C236" s="10" t="s">
        <v>265</v>
      </c>
      <c r="D236" s="10" t="s">
        <v>264</v>
      </c>
      <c r="E236" s="10" t="s">
        <v>49</v>
      </c>
      <c r="F236" s="10" t="s">
        <v>16</v>
      </c>
    </row>
    <row r="237" spans="1:6">
      <c r="A237" s="11" t="s">
        <v>934</v>
      </c>
      <c r="B237" s="12" t="s">
        <v>935</v>
      </c>
      <c r="C237" s="10" t="s">
        <v>265</v>
      </c>
      <c r="D237" s="10" t="s">
        <v>264</v>
      </c>
      <c r="E237" s="10" t="s">
        <v>49</v>
      </c>
      <c r="F237" s="10" t="s">
        <v>16</v>
      </c>
    </row>
    <row r="238" spans="1:6">
      <c r="A238" s="11" t="s">
        <v>936</v>
      </c>
      <c r="B238" s="12" t="s">
        <v>264</v>
      </c>
      <c r="C238" s="10" t="s">
        <v>265</v>
      </c>
      <c r="D238" s="10" t="s">
        <v>264</v>
      </c>
      <c r="E238" s="10" t="s">
        <v>49</v>
      </c>
      <c r="F238" s="10" t="s">
        <v>16</v>
      </c>
    </row>
    <row r="239" spans="1:6">
      <c r="A239" s="10" t="s">
        <v>937</v>
      </c>
      <c r="B239" s="12" t="s">
        <v>938</v>
      </c>
      <c r="C239" s="10" t="s">
        <v>265</v>
      </c>
      <c r="D239" s="10" t="s">
        <v>264</v>
      </c>
      <c r="E239" s="10" t="s">
        <v>49</v>
      </c>
      <c r="F239" s="10" t="s">
        <v>16</v>
      </c>
    </row>
    <row r="240" spans="1:6">
      <c r="A240" s="11" t="s">
        <v>939</v>
      </c>
      <c r="B240" s="12" t="s">
        <v>279</v>
      </c>
      <c r="C240" s="10" t="s">
        <v>940</v>
      </c>
      <c r="D240" s="10" t="s">
        <v>279</v>
      </c>
      <c r="E240" s="10" t="str">
        <f>IFERROR(VLOOKUP(Tabela55[[#This Row],[Abrev]],Nucleos!$B$2:$G$199,5,0),"Verificar com o setor")</f>
        <v>INTERIOR SP</v>
      </c>
      <c r="F240" s="10" t="s">
        <v>16</v>
      </c>
    </row>
    <row r="241" spans="1:6">
      <c r="A241" s="10" t="s">
        <v>941</v>
      </c>
      <c r="B241" s="12" t="s">
        <v>942</v>
      </c>
      <c r="C241" s="10" t="s">
        <v>940</v>
      </c>
      <c r="D241" s="10" t="s">
        <v>279</v>
      </c>
      <c r="E241" s="10" t="str">
        <f>IFERROR(VLOOKUP(Tabela55[[#This Row],[Abrev]],Nucleos!$B$2:$G$199,5,0),"Verificar com o setor")</f>
        <v>INTERIOR SP</v>
      </c>
      <c r="F241" s="10" t="s">
        <v>16</v>
      </c>
    </row>
    <row r="242" spans="1:6">
      <c r="A242" s="10" t="s">
        <v>943</v>
      </c>
      <c r="B242" s="12" t="s">
        <v>944</v>
      </c>
      <c r="C242" s="10" t="s">
        <v>940</v>
      </c>
      <c r="D242" s="10" t="s">
        <v>279</v>
      </c>
      <c r="E242" s="10" t="str">
        <f>IFERROR(VLOOKUP(Tabela55[[#This Row],[Abrev]],Nucleos!$B$2:$G$199,5,0),"Verificar com o setor")</f>
        <v>INTERIOR SP</v>
      </c>
      <c r="F242" s="10" t="s">
        <v>16</v>
      </c>
    </row>
    <row r="243" spans="1:6">
      <c r="A243" s="10" t="s">
        <v>945</v>
      </c>
      <c r="B243" s="12" t="s">
        <v>946</v>
      </c>
      <c r="C243" s="10" t="s">
        <v>940</v>
      </c>
      <c r="D243" s="10" t="s">
        <v>279</v>
      </c>
      <c r="E243" s="10" t="str">
        <f>IFERROR(VLOOKUP(Tabela55[[#This Row],[Abrev]],Nucleos!$B$2:$G$199,5,0),"Verificar com o setor")</f>
        <v>INTERIOR SP</v>
      </c>
      <c r="F243" s="10" t="s">
        <v>16</v>
      </c>
    </row>
    <row r="244" spans="1:6">
      <c r="A244" s="10" t="s">
        <v>947</v>
      </c>
      <c r="B244" s="12" t="s">
        <v>948</v>
      </c>
      <c r="C244" s="10" t="s">
        <v>298</v>
      </c>
      <c r="D244" s="10" t="s">
        <v>297</v>
      </c>
      <c r="E244" s="10" t="s">
        <v>107</v>
      </c>
      <c r="F244" s="10" t="s">
        <v>16</v>
      </c>
    </row>
    <row r="245" spans="1:6">
      <c r="A245" s="10" t="s">
        <v>949</v>
      </c>
      <c r="B245" s="12" t="s">
        <v>950</v>
      </c>
      <c r="C245" s="10" t="s">
        <v>298</v>
      </c>
      <c r="D245" s="10" t="s">
        <v>297</v>
      </c>
      <c r="E245" s="10" t="s">
        <v>107</v>
      </c>
      <c r="F245" s="10" t="s">
        <v>16</v>
      </c>
    </row>
    <row r="246" spans="1:6">
      <c r="A246" s="10" t="s">
        <v>951</v>
      </c>
      <c r="B246" s="12" t="s">
        <v>952</v>
      </c>
      <c r="C246" s="10" t="s">
        <v>298</v>
      </c>
      <c r="D246" s="10" t="s">
        <v>297</v>
      </c>
      <c r="E246" s="10" t="s">
        <v>107</v>
      </c>
      <c r="F246" s="10" t="s">
        <v>16</v>
      </c>
    </row>
    <row r="247" spans="1:6">
      <c r="A247" s="10" t="s">
        <v>953</v>
      </c>
      <c r="B247" s="12" t="s">
        <v>954</v>
      </c>
      <c r="C247" s="10" t="s">
        <v>89</v>
      </c>
      <c r="D247" s="10" t="s">
        <v>35</v>
      </c>
      <c r="E247" s="10" t="str">
        <f>IFERROR(VLOOKUP(Tabela55[[#This Row],[Abrev]],Nucleos!$B$2:$G$199,5,0),"Verificar com o setor")</f>
        <v>RIO DE JANEIRO</v>
      </c>
      <c r="F247" s="10" t="s">
        <v>35</v>
      </c>
    </row>
    <row r="248" spans="1:6">
      <c r="A248" s="10" t="s">
        <v>955</v>
      </c>
      <c r="B248" s="12" t="s">
        <v>956</v>
      </c>
      <c r="C248" s="10" t="s">
        <v>89</v>
      </c>
      <c r="D248" s="10" t="s">
        <v>35</v>
      </c>
      <c r="E248" s="10" t="str">
        <f>IFERROR(VLOOKUP(Tabela55[[#This Row],[Abrev]],Nucleos!$B$2:$G$199,5,0),"Verificar com o setor")</f>
        <v>RIO DE JANEIRO</v>
      </c>
      <c r="F248" s="10" t="s">
        <v>35</v>
      </c>
    </row>
    <row r="249" spans="1:6">
      <c r="A249" s="10" t="s">
        <v>957</v>
      </c>
      <c r="B249" s="12" t="s">
        <v>958</v>
      </c>
      <c r="C249" s="10" t="s">
        <v>89</v>
      </c>
      <c r="D249" s="10" t="s">
        <v>35</v>
      </c>
      <c r="E249" s="10" t="str">
        <f>IFERROR(VLOOKUP(Tabela55[[#This Row],[Abrev]],Nucleos!$B$2:$G$199,5,0),"Verificar com o setor")</f>
        <v>RIO DE JANEIRO</v>
      </c>
      <c r="F249" s="10" t="s">
        <v>35</v>
      </c>
    </row>
    <row r="250" spans="1:6">
      <c r="A250" s="10" t="s">
        <v>959</v>
      </c>
      <c r="B250" s="12" t="s">
        <v>960</v>
      </c>
      <c r="C250" s="10" t="s">
        <v>89</v>
      </c>
      <c r="D250" s="10" t="s">
        <v>35</v>
      </c>
      <c r="E250" s="10" t="str">
        <f>IFERROR(VLOOKUP(Tabela55[[#This Row],[Abrev]],Nucleos!$B$2:$G$199,5,0),"Verificar com o setor")</f>
        <v>RIO DE JANEIRO</v>
      </c>
      <c r="F250" s="10" t="s">
        <v>35</v>
      </c>
    </row>
    <row r="251" spans="1:6">
      <c r="A251" s="10" t="s">
        <v>961</v>
      </c>
      <c r="B251" s="12" t="s">
        <v>962</v>
      </c>
      <c r="C251" s="10" t="s">
        <v>89</v>
      </c>
      <c r="D251" s="10" t="s">
        <v>35</v>
      </c>
      <c r="E251" s="10" t="str">
        <f>IFERROR(VLOOKUP(Tabela55[[#This Row],[Abrev]],Nucleos!$B$2:$G$199,5,0),"Verificar com o setor")</f>
        <v>RIO DE JANEIRO</v>
      </c>
      <c r="F251" s="10" t="s">
        <v>35</v>
      </c>
    </row>
    <row r="252" spans="1:6">
      <c r="A252" s="10" t="s">
        <v>963</v>
      </c>
      <c r="B252" s="12" t="s">
        <v>964</v>
      </c>
      <c r="C252" s="10" t="s">
        <v>89</v>
      </c>
      <c r="D252" s="10" t="s">
        <v>35</v>
      </c>
      <c r="E252" s="10" t="str">
        <f>IFERROR(VLOOKUP(Tabela55[[#This Row],[Abrev]],Nucleos!$B$2:$G$199,5,0),"Verificar com o setor")</f>
        <v>RIO DE JANEIRO</v>
      </c>
      <c r="F252" s="10" t="s">
        <v>35</v>
      </c>
    </row>
    <row r="253" spans="1:6">
      <c r="A253" s="10" t="s">
        <v>965</v>
      </c>
      <c r="B253" s="12" t="s">
        <v>966</v>
      </c>
      <c r="C253" s="10" t="s">
        <v>89</v>
      </c>
      <c r="D253" s="10" t="s">
        <v>35</v>
      </c>
      <c r="E253" s="10" t="str">
        <f>IFERROR(VLOOKUP(Tabela55[[#This Row],[Abrev]],Nucleos!$B$2:$G$199,5,0),"Verificar com o setor")</f>
        <v>RIO DE JANEIRO</v>
      </c>
      <c r="F253" s="10" t="s">
        <v>35</v>
      </c>
    </row>
    <row r="254" spans="1:6">
      <c r="A254" s="10" t="s">
        <v>967</v>
      </c>
      <c r="B254" s="12" t="s">
        <v>968</v>
      </c>
      <c r="C254" s="10" t="s">
        <v>89</v>
      </c>
      <c r="D254" s="10" t="s">
        <v>35</v>
      </c>
      <c r="E254" s="10" t="str">
        <f>IFERROR(VLOOKUP(Tabela55[[#This Row],[Abrev]],Nucleos!$B$2:$G$199,5,0),"Verificar com o setor")</f>
        <v>RIO DE JANEIRO</v>
      </c>
      <c r="F254" s="10" t="s">
        <v>35</v>
      </c>
    </row>
    <row r="255" spans="1:6">
      <c r="A255" s="10" t="s">
        <v>969</v>
      </c>
      <c r="B255" s="12" t="s">
        <v>970</v>
      </c>
      <c r="C255" s="10" t="s">
        <v>89</v>
      </c>
      <c r="D255" s="10" t="s">
        <v>35</v>
      </c>
      <c r="E255" s="10" t="str">
        <f>IFERROR(VLOOKUP(Tabela55[[#This Row],[Abrev]],Nucleos!$B$2:$G$199,5,0),"Verificar com o setor")</f>
        <v>RIO DE JANEIRO</v>
      </c>
      <c r="F255" s="10" t="s">
        <v>35</v>
      </c>
    </row>
    <row r="256" spans="1:6">
      <c r="A256" s="10" t="s">
        <v>971</v>
      </c>
      <c r="B256" s="12" t="s">
        <v>261</v>
      </c>
      <c r="C256" s="10" t="s">
        <v>89</v>
      </c>
      <c r="D256" s="10" t="s">
        <v>35</v>
      </c>
      <c r="E256" s="10" t="str">
        <f>IFERROR(VLOOKUP(Tabela55[[#This Row],[Abrev]],Nucleos!$B$2:$G$199,5,0),"Verificar com o setor")</f>
        <v>RIO DE JANEIRO</v>
      </c>
      <c r="F256" s="10" t="s">
        <v>35</v>
      </c>
    </row>
    <row r="257" spans="1:6">
      <c r="A257" s="10" t="s">
        <v>972</v>
      </c>
      <c r="B257" s="12" t="s">
        <v>973</v>
      </c>
      <c r="C257" s="10" t="s">
        <v>89</v>
      </c>
      <c r="D257" s="10" t="s">
        <v>35</v>
      </c>
      <c r="E257" s="10" t="str">
        <f>IFERROR(VLOOKUP(Tabela55[[#This Row],[Abrev]],Nucleos!$B$2:$G$199,5,0),"Verificar com o setor")</f>
        <v>RIO DE JANEIRO</v>
      </c>
      <c r="F257" s="10" t="s">
        <v>35</v>
      </c>
    </row>
    <row r="258" spans="1:6">
      <c r="A258" s="10" t="s">
        <v>974</v>
      </c>
      <c r="B258" s="12" t="s">
        <v>189</v>
      </c>
      <c r="C258" s="10" t="s">
        <v>89</v>
      </c>
      <c r="D258" s="10" t="s">
        <v>35</v>
      </c>
      <c r="E258" s="10" t="str">
        <f>IFERROR(VLOOKUP(Tabela55[[#This Row],[Abrev]],Nucleos!$B$2:$G$199,5,0),"Verificar com o setor")</f>
        <v>RIO DE JANEIRO</v>
      </c>
      <c r="F258" s="10" t="s">
        <v>35</v>
      </c>
    </row>
    <row r="259" spans="1:6">
      <c r="A259" s="10" t="s">
        <v>975</v>
      </c>
      <c r="B259" s="12" t="s">
        <v>976</v>
      </c>
      <c r="C259" s="10" t="s">
        <v>89</v>
      </c>
      <c r="D259" s="10" t="s">
        <v>35</v>
      </c>
      <c r="E259" s="10" t="str">
        <f>IFERROR(VLOOKUP(Tabela55[[#This Row],[Abrev]],Nucleos!$B$2:$G$199,5,0),"Verificar com o setor")</f>
        <v>RIO DE JANEIRO</v>
      </c>
      <c r="F259" s="10" t="s">
        <v>35</v>
      </c>
    </row>
    <row r="260" spans="1:6">
      <c r="A260" s="10" t="s">
        <v>977</v>
      </c>
      <c r="B260" s="12" t="s">
        <v>978</v>
      </c>
      <c r="C260" s="10" t="s">
        <v>89</v>
      </c>
      <c r="D260" s="10" t="s">
        <v>35</v>
      </c>
      <c r="E260" s="10" t="str">
        <f>IFERROR(VLOOKUP(Tabela55[[#This Row],[Abrev]],Nucleos!$B$2:$G$199,5,0),"Verificar com o setor")</f>
        <v>RIO DE JANEIRO</v>
      </c>
      <c r="F260" s="10" t="s">
        <v>35</v>
      </c>
    </row>
    <row r="261" spans="1:6">
      <c r="A261" s="10" t="s">
        <v>979</v>
      </c>
      <c r="B261" s="12" t="s">
        <v>245</v>
      </c>
      <c r="C261" s="10" t="s">
        <v>89</v>
      </c>
      <c r="D261" s="10" t="s">
        <v>35</v>
      </c>
      <c r="E261" s="10" t="str">
        <f>IFERROR(VLOOKUP(Tabela55[[#This Row],[Abrev]],Nucleos!$B$2:$G$199,5,0),"Verificar com o setor")</f>
        <v>RIO DE JANEIRO</v>
      </c>
      <c r="F261" s="10" t="s">
        <v>35</v>
      </c>
    </row>
    <row r="262" spans="1:6">
      <c r="A262" s="11" t="s">
        <v>980</v>
      </c>
      <c r="B262" s="12" t="s">
        <v>981</v>
      </c>
      <c r="C262" s="10" t="s">
        <v>89</v>
      </c>
      <c r="D262" s="10" t="s">
        <v>35</v>
      </c>
      <c r="E262" s="10" t="str">
        <f>IFERROR(VLOOKUP(Tabela55[[#This Row],[Abrev]],Nucleos!$B$2:$G$199,5,0),"Verificar com o setor")</f>
        <v>RIO DE JANEIRO</v>
      </c>
      <c r="F262" s="10" t="s">
        <v>35</v>
      </c>
    </row>
    <row r="263" spans="1:6">
      <c r="A263" s="11" t="s">
        <v>982</v>
      </c>
      <c r="B263" s="12" t="s">
        <v>983</v>
      </c>
      <c r="C263" s="10" t="s">
        <v>89</v>
      </c>
      <c r="D263" s="10" t="s">
        <v>35</v>
      </c>
      <c r="E263" s="10" t="str">
        <f>IFERROR(VLOOKUP(Tabela55[[#This Row],[Abrev]],Nucleos!$B$2:$G$199,5,0),"Verificar com o setor")</f>
        <v>RIO DE JANEIRO</v>
      </c>
      <c r="F263" s="10" t="s">
        <v>35</v>
      </c>
    </row>
    <row r="264" spans="1:6">
      <c r="A264" s="10" t="s">
        <v>984</v>
      </c>
      <c r="B264" s="12" t="s">
        <v>985</v>
      </c>
      <c r="C264" s="10" t="s">
        <v>89</v>
      </c>
      <c r="D264" s="10" t="s">
        <v>35</v>
      </c>
      <c r="E264" s="10" t="str">
        <f>IFERROR(VLOOKUP(Tabela55[[#This Row],[Abrev]],Nucleos!$B$2:$G$199,5,0),"Verificar com o setor")</f>
        <v>RIO DE JANEIRO</v>
      </c>
      <c r="F264" s="10" t="s">
        <v>35</v>
      </c>
    </row>
    <row r="265" spans="1:6">
      <c r="A265" s="10" t="s">
        <v>986</v>
      </c>
      <c r="B265" s="12" t="s">
        <v>987</v>
      </c>
      <c r="C265" s="10" t="s">
        <v>89</v>
      </c>
      <c r="D265" s="10" t="s">
        <v>35</v>
      </c>
      <c r="E265" s="10" t="str">
        <f>IFERROR(VLOOKUP(Tabela55[[#This Row],[Abrev]],Nucleos!$B$2:$G$199,5,0),"Verificar com o setor")</f>
        <v>RIO DE JANEIRO</v>
      </c>
      <c r="F265" s="10" t="s">
        <v>35</v>
      </c>
    </row>
    <row r="266" spans="1:6">
      <c r="A266" s="10" t="s">
        <v>988</v>
      </c>
      <c r="B266" s="12" t="s">
        <v>989</v>
      </c>
      <c r="C266" s="10" t="s">
        <v>89</v>
      </c>
      <c r="D266" s="10" t="s">
        <v>35</v>
      </c>
      <c r="E266" s="10" t="str">
        <f>IFERROR(VLOOKUP(Tabela55[[#This Row],[Abrev]],Nucleos!$B$2:$G$199,5,0),"Verificar com o setor")</f>
        <v>RIO DE JANEIRO</v>
      </c>
      <c r="F266" s="10" t="s">
        <v>35</v>
      </c>
    </row>
    <row r="267" spans="1:6">
      <c r="A267" s="10" t="s">
        <v>990</v>
      </c>
      <c r="B267" s="12" t="s">
        <v>991</v>
      </c>
      <c r="C267" s="10" t="s">
        <v>89</v>
      </c>
      <c r="D267" s="10" t="s">
        <v>35</v>
      </c>
      <c r="E267" s="10" t="str">
        <f>IFERROR(VLOOKUP(Tabela55[[#This Row],[Abrev]],Nucleos!$B$2:$G$199,5,0),"Verificar com o setor")</f>
        <v>RIO DE JANEIRO</v>
      </c>
      <c r="F267" s="10" t="s">
        <v>35</v>
      </c>
    </row>
    <row r="268" spans="1:6">
      <c r="A268" s="10" t="s">
        <v>992</v>
      </c>
      <c r="B268" s="12" t="s">
        <v>993</v>
      </c>
      <c r="C268" s="10" t="s">
        <v>89</v>
      </c>
      <c r="D268" s="10" t="s">
        <v>35</v>
      </c>
      <c r="E268" s="10" t="str">
        <f>IFERROR(VLOOKUP(Tabela55[[#This Row],[Abrev]],Nucleos!$B$2:$G$199,5,0),"Verificar com o setor")</f>
        <v>RIO DE JANEIRO</v>
      </c>
      <c r="F268" s="10" t="s">
        <v>35</v>
      </c>
    </row>
    <row r="269" spans="1:6">
      <c r="A269" s="10" t="s">
        <v>994</v>
      </c>
      <c r="B269" s="12" t="s">
        <v>995</v>
      </c>
      <c r="C269" s="10" t="s">
        <v>89</v>
      </c>
      <c r="D269" s="10" t="s">
        <v>35</v>
      </c>
      <c r="E269" s="10" t="str">
        <f>IFERROR(VLOOKUP(Tabela55[[#This Row],[Abrev]],Nucleos!$B$2:$G$199,5,0),"Verificar com o setor")</f>
        <v>RIO DE JANEIRO</v>
      </c>
      <c r="F269" s="10" t="s">
        <v>35</v>
      </c>
    </row>
    <row r="270" spans="1:6">
      <c r="A270" s="11" t="s">
        <v>996</v>
      </c>
      <c r="B270" s="12" t="s">
        <v>997</v>
      </c>
      <c r="C270" s="10" t="s">
        <v>89</v>
      </c>
      <c r="D270" s="10" t="s">
        <v>35</v>
      </c>
      <c r="E270" s="10" t="str">
        <f>IFERROR(VLOOKUP(Tabela55[[#This Row],[Abrev]],Nucleos!$B$2:$G$199,5,0),"Verificar com o setor")</f>
        <v>RIO DE JANEIRO</v>
      </c>
      <c r="F270" s="10" t="s">
        <v>35</v>
      </c>
    </row>
    <row r="271" spans="1:6">
      <c r="A271" s="11" t="s">
        <v>998</v>
      </c>
      <c r="B271" s="12" t="s">
        <v>999</v>
      </c>
      <c r="C271" s="10" t="s">
        <v>89</v>
      </c>
      <c r="D271" s="10" t="s">
        <v>35</v>
      </c>
      <c r="E271" s="10" t="str">
        <f>IFERROR(VLOOKUP(Tabela55[[#This Row],[Abrev]],Nucleos!$B$2:$G$199,5,0),"Verificar com o setor")</f>
        <v>RIO DE JANEIRO</v>
      </c>
      <c r="F271" s="10" t="s">
        <v>35</v>
      </c>
    </row>
    <row r="272" spans="1:6">
      <c r="A272" s="10" t="s">
        <v>1000</v>
      </c>
      <c r="B272" s="12" t="s">
        <v>1001</v>
      </c>
      <c r="C272" s="10" t="s">
        <v>89</v>
      </c>
      <c r="D272" s="10" t="s">
        <v>35</v>
      </c>
      <c r="E272" s="10" t="str">
        <f>IFERROR(VLOOKUP(Tabela55[[#This Row],[Abrev]],Nucleos!$B$2:$G$199,5,0),"Verificar com o setor")</f>
        <v>RIO DE JANEIRO</v>
      </c>
      <c r="F272" s="10" t="s">
        <v>35</v>
      </c>
    </row>
    <row r="273" spans="1:6">
      <c r="A273" s="10" t="s">
        <v>1002</v>
      </c>
      <c r="B273" s="12" t="s">
        <v>1003</v>
      </c>
      <c r="C273" s="10" t="s">
        <v>89</v>
      </c>
      <c r="D273" s="10" t="s">
        <v>35</v>
      </c>
      <c r="E273" s="10" t="str">
        <f>IFERROR(VLOOKUP(Tabela55[[#This Row],[Abrev]],Nucleos!$B$2:$G$199,5,0),"Verificar com o setor")</f>
        <v>RIO DE JANEIRO</v>
      </c>
      <c r="F273" s="10" t="s">
        <v>35</v>
      </c>
    </row>
    <row r="274" spans="1:6">
      <c r="A274" s="10" t="s">
        <v>1004</v>
      </c>
      <c r="B274" s="12" t="s">
        <v>1005</v>
      </c>
      <c r="C274" s="10" t="s">
        <v>89</v>
      </c>
      <c r="D274" s="10" t="s">
        <v>35</v>
      </c>
      <c r="E274" s="10" t="str">
        <f>IFERROR(VLOOKUP(Tabela55[[#This Row],[Abrev]],Nucleos!$B$2:$G$199,5,0),"Verificar com o setor")</f>
        <v>RIO DE JANEIRO</v>
      </c>
      <c r="F274" s="10" t="s">
        <v>35</v>
      </c>
    </row>
    <row r="275" spans="1:6">
      <c r="A275" s="10" t="s">
        <v>1006</v>
      </c>
      <c r="B275" s="15" t="s">
        <v>1007</v>
      </c>
      <c r="C275" s="10" t="s">
        <v>89</v>
      </c>
      <c r="D275" s="10" t="s">
        <v>35</v>
      </c>
      <c r="E275" s="10" t="str">
        <f>IFERROR(VLOOKUP(Tabela55[[#This Row],[Abrev]],Nucleos!$B$2:$G$199,5,0),"Verificar com o setor")</f>
        <v>RIO DE JANEIRO</v>
      </c>
      <c r="F275" s="10" t="s">
        <v>35</v>
      </c>
    </row>
    <row r="276" spans="1:6">
      <c r="A276" s="10" t="s">
        <v>1008</v>
      </c>
      <c r="B276" s="15" t="s">
        <v>1009</v>
      </c>
      <c r="C276" s="10" t="s">
        <v>89</v>
      </c>
      <c r="D276" s="10" t="s">
        <v>35</v>
      </c>
      <c r="E276" s="10" t="str">
        <f>IFERROR(VLOOKUP(Tabela55[[#This Row],[Abrev]],Nucleos!$B$2:$G$199,5,0),"Verificar com o setor")</f>
        <v>RIO DE JANEIRO</v>
      </c>
      <c r="F276" s="10" t="s">
        <v>35</v>
      </c>
    </row>
    <row r="277" spans="1:6">
      <c r="A277" s="10" t="s">
        <v>1010</v>
      </c>
      <c r="B277" s="15" t="s">
        <v>1011</v>
      </c>
      <c r="C277" s="10" t="s">
        <v>89</v>
      </c>
      <c r="D277" s="10" t="s">
        <v>35</v>
      </c>
      <c r="E277" s="10" t="str">
        <f>IFERROR(VLOOKUP(Tabela55[[#This Row],[Abrev]],Nucleos!$B$2:$G$199,5,0),"Verificar com o setor")</f>
        <v>RIO DE JANEIRO</v>
      </c>
      <c r="F277" s="10" t="s">
        <v>35</v>
      </c>
    </row>
    <row r="278" spans="1:6">
      <c r="A278" s="10" t="s">
        <v>1012</v>
      </c>
      <c r="B278" s="15" t="s">
        <v>1013</v>
      </c>
      <c r="C278" s="10" t="s">
        <v>89</v>
      </c>
      <c r="D278" s="10" t="s">
        <v>35</v>
      </c>
      <c r="E278" s="10" t="str">
        <f>IFERROR(VLOOKUP(Tabela55[[#This Row],[Abrev]],Nucleos!$B$2:$G$199,5,0),"Verificar com o setor")</f>
        <v>RIO DE JANEIRO</v>
      </c>
      <c r="F278" s="10" t="s">
        <v>35</v>
      </c>
    </row>
    <row r="279" spans="1:6">
      <c r="A279" s="10" t="s">
        <v>1014</v>
      </c>
      <c r="B279" s="15" t="s">
        <v>1015</v>
      </c>
      <c r="C279" s="10" t="s">
        <v>89</v>
      </c>
      <c r="D279" s="10" t="s">
        <v>35</v>
      </c>
      <c r="E279" s="10" t="str">
        <f>IFERROR(VLOOKUP(Tabela55[[#This Row],[Abrev]],Nucleos!$B$2:$G$199,5,0),"Verificar com o setor")</f>
        <v>RIO DE JANEIRO</v>
      </c>
      <c r="F279" s="10" t="s">
        <v>35</v>
      </c>
    </row>
    <row r="280" spans="1:6">
      <c r="A280" s="10" t="s">
        <v>1016</v>
      </c>
      <c r="B280" s="15" t="s">
        <v>1017</v>
      </c>
      <c r="C280" s="10" t="s">
        <v>89</v>
      </c>
      <c r="D280" s="10" t="s">
        <v>35</v>
      </c>
      <c r="E280" s="10" t="str">
        <f>IFERROR(VLOOKUP(Tabela55[[#This Row],[Abrev]],Nucleos!$B$2:$G$199,5,0),"Verificar com o setor")</f>
        <v>RIO DE JANEIRO</v>
      </c>
      <c r="F280" s="10" t="s">
        <v>35</v>
      </c>
    </row>
    <row r="281" spans="1:6">
      <c r="A281" s="10" t="s">
        <v>1018</v>
      </c>
      <c r="B281" s="15" t="s">
        <v>1019</v>
      </c>
      <c r="C281" s="10" t="s">
        <v>89</v>
      </c>
      <c r="D281" s="10" t="s">
        <v>35</v>
      </c>
      <c r="E281" s="10" t="str">
        <f>IFERROR(VLOOKUP(Tabela55[[#This Row],[Abrev]],Nucleos!$B$2:$G$199,5,0),"Verificar com o setor")</f>
        <v>RIO DE JANEIRO</v>
      </c>
      <c r="F281" s="10" t="s">
        <v>35</v>
      </c>
    </row>
    <row r="282" spans="1:6">
      <c r="A282" s="10" t="s">
        <v>1020</v>
      </c>
      <c r="B282" s="15" t="s">
        <v>1021</v>
      </c>
      <c r="C282" s="10" t="s">
        <v>89</v>
      </c>
      <c r="D282" s="10" t="s">
        <v>35</v>
      </c>
      <c r="E282" s="10" t="str">
        <f>IFERROR(VLOOKUP(Tabela55[[#This Row],[Abrev]],Nucleos!$B$2:$G$199,5,0),"Verificar com o setor")</f>
        <v>RIO DE JANEIRO</v>
      </c>
      <c r="F282" s="10" t="s">
        <v>35</v>
      </c>
    </row>
    <row r="283" spans="1:6">
      <c r="A283" s="10" t="s">
        <v>1022</v>
      </c>
      <c r="B283" s="12" t="s">
        <v>1023</v>
      </c>
      <c r="C283" s="10" t="s">
        <v>89</v>
      </c>
      <c r="D283" s="10" t="s">
        <v>35</v>
      </c>
      <c r="E283" s="10" t="str">
        <f>IFERROR(VLOOKUP(Tabela55[[#This Row],[Abrev]],Nucleos!$B$2:$G$199,5,0),"Verificar com o setor")</f>
        <v>RIO DE JANEIRO</v>
      </c>
      <c r="F283" s="10" t="s">
        <v>35</v>
      </c>
    </row>
    <row r="284" spans="1:6">
      <c r="A284" s="10" t="s">
        <v>1024</v>
      </c>
      <c r="B284" s="12" t="s">
        <v>1025</v>
      </c>
      <c r="C284" s="10" t="s">
        <v>89</v>
      </c>
      <c r="D284" s="10" t="s">
        <v>35</v>
      </c>
      <c r="E284" s="10" t="str">
        <f>IFERROR(VLOOKUP(Tabela55[[#This Row],[Abrev]],Nucleos!$B$2:$G$199,5,0),"Verificar com o setor")</f>
        <v>RIO DE JANEIRO</v>
      </c>
      <c r="F284" s="10" t="s">
        <v>35</v>
      </c>
    </row>
    <row r="285" spans="1:6">
      <c r="A285" s="10" t="s">
        <v>1026</v>
      </c>
      <c r="B285" s="12" t="s">
        <v>1027</v>
      </c>
      <c r="C285" s="10" t="s">
        <v>89</v>
      </c>
      <c r="D285" s="10" t="s">
        <v>35</v>
      </c>
      <c r="E285" s="10" t="str">
        <f>IFERROR(VLOOKUP(Tabela55[[#This Row],[Abrev]],Nucleos!$B$2:$G$199,5,0),"Verificar com o setor")</f>
        <v>RIO DE JANEIRO</v>
      </c>
      <c r="F285" s="10" t="s">
        <v>35</v>
      </c>
    </row>
    <row r="286" spans="1:6">
      <c r="A286" s="10" t="s">
        <v>1028</v>
      </c>
      <c r="B286" s="12" t="s">
        <v>1029</v>
      </c>
      <c r="C286" s="10" t="s">
        <v>89</v>
      </c>
      <c r="D286" s="10" t="s">
        <v>35</v>
      </c>
      <c r="E286" s="10" t="str">
        <f>IFERROR(VLOOKUP(Tabela55[[#This Row],[Abrev]],Nucleos!$B$2:$G$199,5,0),"Verificar com o setor")</f>
        <v>RIO DE JANEIRO</v>
      </c>
      <c r="F286" s="10" t="s">
        <v>35</v>
      </c>
    </row>
    <row r="287" spans="1:6">
      <c r="A287" s="10" t="s">
        <v>1030</v>
      </c>
      <c r="B287" s="12" t="s">
        <v>1031</v>
      </c>
      <c r="C287" s="10" t="s">
        <v>89</v>
      </c>
      <c r="D287" s="10" t="s">
        <v>35</v>
      </c>
      <c r="E287" s="10" t="str">
        <f>IFERROR(VLOOKUP(Tabela55[[#This Row],[Abrev]],Nucleos!$B$2:$G$199,5,0),"Verificar com o setor")</f>
        <v>RIO DE JANEIRO</v>
      </c>
      <c r="F287" s="10" t="s">
        <v>35</v>
      </c>
    </row>
    <row r="288" spans="1:6">
      <c r="A288" s="10" t="s">
        <v>1032</v>
      </c>
      <c r="B288" s="12" t="s">
        <v>1033</v>
      </c>
      <c r="C288" s="10" t="s">
        <v>89</v>
      </c>
      <c r="D288" s="10" t="s">
        <v>35</v>
      </c>
      <c r="E288" s="10" t="str">
        <f>IFERROR(VLOOKUP(Tabela55[[#This Row],[Abrev]],Nucleos!$B$2:$G$199,5,0),"Verificar com o setor")</f>
        <v>RIO DE JANEIRO</v>
      </c>
      <c r="F288" s="10" t="s">
        <v>35</v>
      </c>
    </row>
    <row r="289" spans="1:6">
      <c r="A289" s="10" t="s">
        <v>1034</v>
      </c>
      <c r="B289" s="12" t="s">
        <v>1035</v>
      </c>
      <c r="C289" s="10" t="s">
        <v>89</v>
      </c>
      <c r="D289" s="10" t="s">
        <v>35</v>
      </c>
      <c r="E289" s="10" t="str">
        <f>IFERROR(VLOOKUP(Tabela55[[#This Row],[Abrev]],Nucleos!$B$2:$G$199,5,0),"Verificar com o setor")</f>
        <v>RIO DE JANEIRO</v>
      </c>
      <c r="F289" s="10" t="s">
        <v>35</v>
      </c>
    </row>
    <row r="290" spans="1:6">
      <c r="A290" s="10" t="s">
        <v>1036</v>
      </c>
      <c r="B290" s="12" t="s">
        <v>1037</v>
      </c>
      <c r="C290" s="10" t="s">
        <v>89</v>
      </c>
      <c r="D290" s="10" t="s">
        <v>35</v>
      </c>
      <c r="E290" s="10" t="str">
        <f>IFERROR(VLOOKUP(Tabela55[[#This Row],[Abrev]],Nucleos!$B$2:$G$199,5,0),"Verificar com o setor")</f>
        <v>RIO DE JANEIRO</v>
      </c>
      <c r="F290" s="10" t="s">
        <v>35</v>
      </c>
    </row>
    <row r="291" spans="1:6">
      <c r="A291" s="10" t="s">
        <v>1038</v>
      </c>
      <c r="B291" s="12" t="s">
        <v>1039</v>
      </c>
      <c r="C291" s="10" t="s">
        <v>89</v>
      </c>
      <c r="D291" s="10" t="s">
        <v>35</v>
      </c>
      <c r="E291" s="10" t="str">
        <f>IFERROR(VLOOKUP(Tabela55[[#This Row],[Abrev]],Nucleos!$B$2:$G$199,5,0),"Verificar com o setor")</f>
        <v>RIO DE JANEIRO</v>
      </c>
      <c r="F291" s="10" t="s">
        <v>35</v>
      </c>
    </row>
    <row r="292" spans="1:6">
      <c r="A292" s="10" t="s">
        <v>1040</v>
      </c>
      <c r="B292" s="12" t="s">
        <v>1041</v>
      </c>
      <c r="C292" s="10" t="s">
        <v>89</v>
      </c>
      <c r="D292" s="10" t="s">
        <v>35</v>
      </c>
      <c r="E292" s="10" t="str">
        <f>IFERROR(VLOOKUP(Tabela55[[#This Row],[Abrev]],Nucleos!$B$2:$G$199,5,0),"Verificar com o setor")</f>
        <v>RIO DE JANEIRO</v>
      </c>
      <c r="F292" s="10" t="s">
        <v>35</v>
      </c>
    </row>
    <row r="293" spans="1:6">
      <c r="A293" s="10" t="s">
        <v>1042</v>
      </c>
      <c r="B293" s="12" t="s">
        <v>1043</v>
      </c>
      <c r="C293" s="10" t="s">
        <v>89</v>
      </c>
      <c r="D293" s="10" t="s">
        <v>35</v>
      </c>
      <c r="E293" s="10" t="str">
        <f>IFERROR(VLOOKUP(Tabela55[[#This Row],[Abrev]],Nucleos!$B$2:$G$199,5,0),"Verificar com o setor")</f>
        <v>RIO DE JANEIRO</v>
      </c>
      <c r="F293" s="10" t="s">
        <v>35</v>
      </c>
    </row>
    <row r="294" spans="1:6">
      <c r="A294" s="10" t="s">
        <v>1044</v>
      </c>
      <c r="B294" s="12" t="s">
        <v>1045</v>
      </c>
      <c r="C294" s="10" t="s">
        <v>89</v>
      </c>
      <c r="D294" s="10" t="s">
        <v>35</v>
      </c>
      <c r="E294" s="10" t="str">
        <f>IFERROR(VLOOKUP(Tabela55[[#This Row],[Abrev]],Nucleos!$B$2:$G$199,5,0),"Verificar com o setor")</f>
        <v>RIO DE JANEIRO</v>
      </c>
      <c r="F294" s="10" t="s">
        <v>35</v>
      </c>
    </row>
    <row r="295" spans="1:6">
      <c r="A295" s="10" t="s">
        <v>1046</v>
      </c>
      <c r="B295" s="12" t="s">
        <v>1047</v>
      </c>
      <c r="C295" s="10" t="s">
        <v>89</v>
      </c>
      <c r="D295" s="10" t="s">
        <v>35</v>
      </c>
      <c r="E295" s="10" t="str">
        <f>IFERROR(VLOOKUP(Tabela55[[#This Row],[Abrev]],Nucleos!$B$2:$G$199,5,0),"Verificar com o setor")</f>
        <v>RIO DE JANEIRO</v>
      </c>
      <c r="F295" s="10" t="s">
        <v>35</v>
      </c>
    </row>
    <row r="296" spans="1:6">
      <c r="A296" s="10" t="s">
        <v>1048</v>
      </c>
      <c r="B296" s="12" t="s">
        <v>1049</v>
      </c>
      <c r="C296" s="10" t="s">
        <v>89</v>
      </c>
      <c r="D296" s="10" t="s">
        <v>35</v>
      </c>
      <c r="E296" s="10" t="str">
        <f>IFERROR(VLOOKUP(Tabela55[[#This Row],[Abrev]],Nucleos!$B$2:$G$199,5,0),"Verificar com o setor")</f>
        <v>RIO DE JANEIRO</v>
      </c>
      <c r="F296" s="10" t="s">
        <v>35</v>
      </c>
    </row>
    <row r="297" spans="1:6">
      <c r="A297" s="10" t="s">
        <v>1050</v>
      </c>
      <c r="B297" s="12" t="s">
        <v>1051</v>
      </c>
      <c r="C297" s="10" t="s">
        <v>89</v>
      </c>
      <c r="D297" s="10" t="s">
        <v>35</v>
      </c>
      <c r="E297" s="10" t="str">
        <f>IFERROR(VLOOKUP(Tabela55[[#This Row],[Abrev]],Nucleos!$B$2:$G$199,5,0),"Verificar com o setor")</f>
        <v>RIO DE JANEIRO</v>
      </c>
      <c r="F297" s="10" t="s">
        <v>35</v>
      </c>
    </row>
    <row r="298" spans="1:6">
      <c r="A298" s="10" t="s">
        <v>1052</v>
      </c>
      <c r="B298" s="12" t="s">
        <v>1053</v>
      </c>
      <c r="C298" s="10" t="s">
        <v>89</v>
      </c>
      <c r="D298" s="10" t="s">
        <v>35</v>
      </c>
      <c r="E298" s="10" t="str">
        <f>IFERROR(VLOOKUP(Tabela55[[#This Row],[Abrev]],Nucleos!$B$2:$G$199,5,0),"Verificar com o setor")</f>
        <v>RIO DE JANEIRO</v>
      </c>
      <c r="F298" s="10" t="s">
        <v>35</v>
      </c>
    </row>
    <row r="299" spans="1:6">
      <c r="A299" s="10" t="s">
        <v>1054</v>
      </c>
      <c r="B299" s="12" t="s">
        <v>1055</v>
      </c>
      <c r="C299" s="10" t="s">
        <v>89</v>
      </c>
      <c r="D299" s="10" t="s">
        <v>35</v>
      </c>
      <c r="E299" s="10" t="str">
        <f>IFERROR(VLOOKUP(Tabela55[[#This Row],[Abrev]],Nucleos!$B$2:$G$199,5,0),"Verificar com o setor")</f>
        <v>RIO DE JANEIRO</v>
      </c>
      <c r="F299" s="10" t="s">
        <v>35</v>
      </c>
    </row>
    <row r="300" spans="1:6">
      <c r="A300" s="10" t="s">
        <v>1056</v>
      </c>
      <c r="B300" s="12" t="s">
        <v>1057</v>
      </c>
      <c r="C300" s="10" t="s">
        <v>89</v>
      </c>
      <c r="D300" s="10" t="s">
        <v>35</v>
      </c>
      <c r="E300" s="10" t="str">
        <f>IFERROR(VLOOKUP(Tabela55[[#This Row],[Abrev]],Nucleos!$B$2:$G$199,5,0),"Verificar com o setor")</f>
        <v>RIO DE JANEIRO</v>
      </c>
      <c r="F300" s="10" t="s">
        <v>35</v>
      </c>
    </row>
    <row r="301" spans="1:6">
      <c r="A301" s="10" t="s">
        <v>1058</v>
      </c>
      <c r="B301" s="12" t="s">
        <v>1059</v>
      </c>
      <c r="C301" s="10" t="s">
        <v>89</v>
      </c>
      <c r="D301" s="10" t="s">
        <v>35</v>
      </c>
      <c r="E301" s="10" t="str">
        <f>IFERROR(VLOOKUP(Tabela55[[#This Row],[Abrev]],Nucleos!$B$2:$G$199,5,0),"Verificar com o setor")</f>
        <v>RIO DE JANEIRO</v>
      </c>
      <c r="F301" s="10" t="s">
        <v>35</v>
      </c>
    </row>
    <row r="302" spans="1:6">
      <c r="A302" s="10" t="s">
        <v>1060</v>
      </c>
      <c r="B302" s="12" t="s">
        <v>1061</v>
      </c>
      <c r="C302" s="10" t="s">
        <v>89</v>
      </c>
      <c r="D302" s="10" t="s">
        <v>35</v>
      </c>
      <c r="E302" s="10" t="str">
        <f>IFERROR(VLOOKUP(Tabela55[[#This Row],[Abrev]],Nucleos!$B$2:$G$199,5,0),"Verificar com o setor")</f>
        <v>RIO DE JANEIRO</v>
      </c>
      <c r="F302" s="10" t="s">
        <v>35</v>
      </c>
    </row>
    <row r="303" spans="1:6">
      <c r="A303" s="10" t="s">
        <v>1062</v>
      </c>
      <c r="B303" s="12" t="s">
        <v>1063</v>
      </c>
      <c r="C303" s="10" t="s">
        <v>89</v>
      </c>
      <c r="D303" s="10" t="s">
        <v>35</v>
      </c>
      <c r="E303" s="10" t="str">
        <f>IFERROR(VLOOKUP(Tabela55[[#This Row],[Abrev]],Nucleos!$B$2:$G$199,5,0),"Verificar com o setor")</f>
        <v>RIO DE JANEIRO</v>
      </c>
      <c r="F303" s="10" t="s">
        <v>35</v>
      </c>
    </row>
    <row r="304" spans="1:6">
      <c r="A304" s="10" t="s">
        <v>1064</v>
      </c>
      <c r="B304" s="12" t="s">
        <v>1065</v>
      </c>
      <c r="C304" s="10" t="s">
        <v>89</v>
      </c>
      <c r="D304" s="10" t="s">
        <v>35</v>
      </c>
      <c r="E304" s="10" t="str">
        <f>IFERROR(VLOOKUP(Tabela55[[#This Row],[Abrev]],Nucleos!$B$2:$G$199,5,0),"Verificar com o setor")</f>
        <v>RIO DE JANEIRO</v>
      </c>
      <c r="F304" s="10" t="s">
        <v>35</v>
      </c>
    </row>
    <row r="305" spans="1:6">
      <c r="A305" s="10" t="s">
        <v>1066</v>
      </c>
      <c r="B305" s="12" t="s">
        <v>1067</v>
      </c>
      <c r="C305" s="10" t="s">
        <v>89</v>
      </c>
      <c r="D305" s="10" t="s">
        <v>35</v>
      </c>
      <c r="E305" s="10" t="str">
        <f>IFERROR(VLOOKUP(Tabela55[[#This Row],[Abrev]],Nucleos!$B$2:$G$199,5,0),"Verificar com o setor")</f>
        <v>RIO DE JANEIRO</v>
      </c>
      <c r="F305" s="10" t="s">
        <v>35</v>
      </c>
    </row>
    <row r="306" spans="1:6">
      <c r="A306" s="10" t="s">
        <v>1068</v>
      </c>
      <c r="B306" s="12" t="s">
        <v>1069</v>
      </c>
      <c r="C306" s="10" t="s">
        <v>89</v>
      </c>
      <c r="D306" s="10" t="s">
        <v>35</v>
      </c>
      <c r="E306" s="10" t="str">
        <f>IFERROR(VLOOKUP(Tabela55[[#This Row],[Abrev]],Nucleos!$B$2:$G$199,5,0),"Verificar com o setor")</f>
        <v>RIO DE JANEIRO</v>
      </c>
      <c r="F306" s="10" t="s">
        <v>35</v>
      </c>
    </row>
    <row r="307" spans="1:6">
      <c r="A307" s="10" t="s">
        <v>1070</v>
      </c>
      <c r="B307" s="12" t="s">
        <v>1071</v>
      </c>
      <c r="C307" s="10" t="s">
        <v>89</v>
      </c>
      <c r="D307" s="10" t="s">
        <v>35</v>
      </c>
      <c r="E307" s="10" t="str">
        <f>IFERROR(VLOOKUP(Tabela55[[#This Row],[Abrev]],Nucleos!$B$2:$G$199,5,0),"Verificar com o setor")</f>
        <v>RIO DE JANEIRO</v>
      </c>
      <c r="F307" s="10" t="s">
        <v>35</v>
      </c>
    </row>
    <row r="308" spans="1:6">
      <c r="A308" s="10" t="s">
        <v>1072</v>
      </c>
      <c r="B308" s="12" t="s">
        <v>1073</v>
      </c>
      <c r="C308" s="10" t="s">
        <v>89</v>
      </c>
      <c r="D308" s="10" t="s">
        <v>35</v>
      </c>
      <c r="E308" s="10" t="str">
        <f>IFERROR(VLOOKUP(Tabela55[[#This Row],[Abrev]],Nucleos!$B$2:$G$199,5,0),"Verificar com o setor")</f>
        <v>RIO DE JANEIRO</v>
      </c>
      <c r="F308" s="10" t="s">
        <v>35</v>
      </c>
    </row>
    <row r="309" spans="1:6">
      <c r="A309" s="10" t="s">
        <v>1074</v>
      </c>
      <c r="B309" s="12" t="s">
        <v>1075</v>
      </c>
      <c r="C309" s="10" t="s">
        <v>89</v>
      </c>
      <c r="D309" s="10" t="s">
        <v>35</v>
      </c>
      <c r="E309" s="10" t="str">
        <f>IFERROR(VLOOKUP(Tabela55[[#This Row],[Abrev]],Nucleos!$B$2:$G$199,5,0),"Verificar com o setor")</f>
        <v>RIO DE JANEIRO</v>
      </c>
      <c r="F309" s="10" t="s">
        <v>35</v>
      </c>
    </row>
    <row r="310" spans="1:6">
      <c r="A310" s="10" t="s">
        <v>1076</v>
      </c>
      <c r="B310" s="12" t="s">
        <v>1077</v>
      </c>
      <c r="C310" s="10" t="s">
        <v>89</v>
      </c>
      <c r="D310" s="10" t="s">
        <v>35</v>
      </c>
      <c r="E310" s="10" t="str">
        <f>IFERROR(VLOOKUP(Tabela55[[#This Row],[Abrev]],Nucleos!$B$2:$G$199,5,0),"Verificar com o setor")</f>
        <v>RIO DE JANEIRO</v>
      </c>
      <c r="F310" s="10" t="s">
        <v>35</v>
      </c>
    </row>
    <row r="311" spans="1:6">
      <c r="A311" s="10" t="s">
        <v>1078</v>
      </c>
      <c r="B311" s="12" t="s">
        <v>1079</v>
      </c>
      <c r="C311" s="10" t="s">
        <v>89</v>
      </c>
      <c r="D311" s="10" t="s">
        <v>35</v>
      </c>
      <c r="E311" s="10" t="str">
        <f>IFERROR(VLOOKUP(Tabela55[[#This Row],[Abrev]],Nucleos!$B$2:$G$199,5,0),"Verificar com o setor")</f>
        <v>RIO DE JANEIRO</v>
      </c>
      <c r="F311" s="10" t="s">
        <v>35</v>
      </c>
    </row>
    <row r="312" spans="1:6">
      <c r="A312" s="10" t="s">
        <v>1080</v>
      </c>
      <c r="B312" s="12" t="s">
        <v>1081</v>
      </c>
      <c r="C312" s="10" t="s">
        <v>89</v>
      </c>
      <c r="D312" s="10" t="s">
        <v>35</v>
      </c>
      <c r="E312" s="10" t="str">
        <f>IFERROR(VLOOKUP(Tabela55[[#This Row],[Abrev]],Nucleos!$B$2:$G$199,5,0),"Verificar com o setor")</f>
        <v>RIO DE JANEIRO</v>
      </c>
      <c r="F312" s="10" t="s">
        <v>35</v>
      </c>
    </row>
    <row r="313" spans="1:6">
      <c r="A313" s="10" t="s">
        <v>1082</v>
      </c>
      <c r="B313" s="12" t="s">
        <v>1083</v>
      </c>
      <c r="C313" s="10" t="s">
        <v>1084</v>
      </c>
      <c r="D313" s="26" t="s">
        <v>310</v>
      </c>
      <c r="E313" s="10" t="s">
        <v>49</v>
      </c>
      <c r="F313" s="10" t="s">
        <v>16</v>
      </c>
    </row>
    <row r="314" spans="1:6">
      <c r="A314" s="10" t="s">
        <v>1085</v>
      </c>
      <c r="B314" s="12" t="s">
        <v>1086</v>
      </c>
      <c r="C314" s="10" t="s">
        <v>1084</v>
      </c>
      <c r="D314" s="26" t="s">
        <v>310</v>
      </c>
      <c r="E314" s="10" t="s">
        <v>107</v>
      </c>
      <c r="F314" s="10" t="s">
        <v>16</v>
      </c>
    </row>
    <row r="315" spans="1:6">
      <c r="A315" s="10" t="s">
        <v>1087</v>
      </c>
      <c r="B315" s="12" t="s">
        <v>1088</v>
      </c>
      <c r="C315" s="17" t="s">
        <v>271</v>
      </c>
      <c r="D315" s="17" t="s">
        <v>341</v>
      </c>
      <c r="E315" s="17" t="s">
        <v>271</v>
      </c>
      <c r="F315" s="10" t="s">
        <v>16</v>
      </c>
    </row>
    <row r="316" spans="1:6">
      <c r="A316" s="10" t="s">
        <v>1089</v>
      </c>
      <c r="B316" s="12" t="s">
        <v>331</v>
      </c>
      <c r="C316" s="17" t="s">
        <v>271</v>
      </c>
      <c r="D316" s="17" t="s">
        <v>341</v>
      </c>
      <c r="E316" s="17" t="s">
        <v>271</v>
      </c>
      <c r="F316" s="10" t="s">
        <v>16</v>
      </c>
    </row>
    <row r="317" spans="1:6">
      <c r="A317" s="11" t="s">
        <v>1090</v>
      </c>
      <c r="B317" s="12" t="s">
        <v>1091</v>
      </c>
      <c r="C317" s="17" t="s">
        <v>271</v>
      </c>
      <c r="D317" s="17" t="s">
        <v>341</v>
      </c>
      <c r="E317" s="17" t="s">
        <v>271</v>
      </c>
      <c r="F317" s="10" t="s">
        <v>16</v>
      </c>
    </row>
    <row r="318" spans="1:6">
      <c r="A318" s="11" t="s">
        <v>1092</v>
      </c>
      <c r="B318" s="12" t="s">
        <v>1093</v>
      </c>
      <c r="C318" s="10" t="s">
        <v>1084</v>
      </c>
      <c r="D318" s="26" t="s">
        <v>310</v>
      </c>
      <c r="E318" s="10" t="s">
        <v>49</v>
      </c>
      <c r="F318" s="10" t="s">
        <v>16</v>
      </c>
    </row>
    <row r="319" spans="1:6">
      <c r="A319" s="11" t="s">
        <v>1094</v>
      </c>
      <c r="B319" s="12" t="s">
        <v>1095</v>
      </c>
      <c r="C319" s="10" t="s">
        <v>1084</v>
      </c>
      <c r="D319" s="26" t="s">
        <v>310</v>
      </c>
      <c r="E319" s="10" t="s">
        <v>107</v>
      </c>
      <c r="F319" s="10" t="s">
        <v>16</v>
      </c>
    </row>
    <row r="320" spans="1:6">
      <c r="A320" s="11" t="s">
        <v>1096</v>
      </c>
      <c r="B320" s="12" t="s">
        <v>1097</v>
      </c>
      <c r="C320" s="10" t="s">
        <v>1084</v>
      </c>
      <c r="D320" s="26" t="s">
        <v>310</v>
      </c>
      <c r="E320" s="10" t="s">
        <v>107</v>
      </c>
      <c r="F320" s="10" t="s">
        <v>16</v>
      </c>
    </row>
    <row r="321" spans="1:6">
      <c r="A321" s="11" t="s">
        <v>1098</v>
      </c>
      <c r="B321" s="12" t="s">
        <v>1099</v>
      </c>
      <c r="C321" s="10" t="s">
        <v>271</v>
      </c>
      <c r="D321" s="10" t="s">
        <v>341</v>
      </c>
      <c r="E321" s="10" t="str">
        <f>IFERROR(VLOOKUP(Tabela55[[#This Row],[Abrev]],Nucleos!$B$2:$G$199,5,0),"Verificar com o setor")</f>
        <v>SANTOS</v>
      </c>
      <c r="F321" s="10" t="s">
        <v>16</v>
      </c>
    </row>
    <row r="322" spans="1:6">
      <c r="A322" s="11" t="s">
        <v>1100</v>
      </c>
      <c r="B322" s="12" t="s">
        <v>1101</v>
      </c>
      <c r="C322" s="17" t="s">
        <v>271</v>
      </c>
      <c r="D322" s="17" t="s">
        <v>341</v>
      </c>
      <c r="E322" s="17" t="s">
        <v>271</v>
      </c>
      <c r="F322" s="10" t="s">
        <v>16</v>
      </c>
    </row>
    <row r="323" spans="1:6">
      <c r="A323" s="11" t="s">
        <v>1102</v>
      </c>
      <c r="B323" s="12" t="s">
        <v>1103</v>
      </c>
      <c r="C323" s="10" t="s">
        <v>1084</v>
      </c>
      <c r="D323" s="26" t="s">
        <v>310</v>
      </c>
      <c r="E323" s="10" t="s">
        <v>49</v>
      </c>
      <c r="F323" s="10" t="s">
        <v>16</v>
      </c>
    </row>
    <row r="324" spans="1:6">
      <c r="A324" s="11" t="s">
        <v>1104</v>
      </c>
      <c r="B324" s="12" t="s">
        <v>1105</v>
      </c>
      <c r="C324" s="17" t="s">
        <v>271</v>
      </c>
      <c r="D324" s="17" t="s">
        <v>341</v>
      </c>
      <c r="E324" s="17" t="s">
        <v>271</v>
      </c>
      <c r="F324" s="10" t="s">
        <v>16</v>
      </c>
    </row>
    <row r="325" spans="1:6">
      <c r="A325" s="11" t="s">
        <v>1106</v>
      </c>
      <c r="B325" s="12" t="s">
        <v>1107</v>
      </c>
      <c r="C325" s="10" t="s">
        <v>1084</v>
      </c>
      <c r="D325" s="26" t="s">
        <v>310</v>
      </c>
      <c r="E325" s="10" t="s">
        <v>107</v>
      </c>
      <c r="F325" s="10" t="s">
        <v>16</v>
      </c>
    </row>
    <row r="326" spans="1:6">
      <c r="A326" s="10" t="s">
        <v>1108</v>
      </c>
      <c r="B326" s="12" t="s">
        <v>1109</v>
      </c>
      <c r="C326" s="10" t="s">
        <v>1084</v>
      </c>
      <c r="D326" s="18" t="s">
        <v>310</v>
      </c>
      <c r="E326" s="10" t="s">
        <v>49</v>
      </c>
      <c r="F326" s="10" t="s">
        <v>16</v>
      </c>
    </row>
    <row r="327" spans="1:6">
      <c r="A327" s="10" t="s">
        <v>1110</v>
      </c>
      <c r="B327" s="12" t="s">
        <v>1111</v>
      </c>
      <c r="C327" s="17" t="s">
        <v>271</v>
      </c>
      <c r="D327" s="17" t="s">
        <v>341</v>
      </c>
      <c r="E327" s="17" t="s">
        <v>271</v>
      </c>
      <c r="F327" s="10" t="s">
        <v>16</v>
      </c>
    </row>
    <row r="328" spans="1:6">
      <c r="A328" s="10" t="s">
        <v>1112</v>
      </c>
      <c r="B328" s="12" t="s">
        <v>1113</v>
      </c>
      <c r="C328" s="10" t="s">
        <v>1084</v>
      </c>
      <c r="D328" s="10" t="s">
        <v>310</v>
      </c>
      <c r="E328" s="10" t="s">
        <v>107</v>
      </c>
      <c r="F328" s="10" t="s">
        <v>16</v>
      </c>
    </row>
    <row r="329" spans="1:6">
      <c r="A329" s="10" t="s">
        <v>1114</v>
      </c>
      <c r="B329" s="12" t="s">
        <v>1115</v>
      </c>
      <c r="C329" s="10" t="s">
        <v>1084</v>
      </c>
      <c r="D329" s="10" t="s">
        <v>310</v>
      </c>
      <c r="E329" s="10" t="s">
        <v>49</v>
      </c>
      <c r="F329" s="10" t="s">
        <v>16</v>
      </c>
    </row>
    <row r="330" spans="1:6">
      <c r="A330" s="10" t="s">
        <v>1116</v>
      </c>
      <c r="B330" s="12" t="s">
        <v>1117</v>
      </c>
      <c r="C330" s="10" t="s">
        <v>1084</v>
      </c>
      <c r="D330" s="10" t="s">
        <v>310</v>
      </c>
      <c r="E330" s="10" t="s">
        <v>107</v>
      </c>
      <c r="F330" s="10" t="s">
        <v>16</v>
      </c>
    </row>
    <row r="331" spans="1:6">
      <c r="A331" s="10" t="s">
        <v>1118</v>
      </c>
      <c r="B331" s="15" t="s">
        <v>1119</v>
      </c>
      <c r="C331" s="10" t="s">
        <v>1084</v>
      </c>
      <c r="D331" s="10" t="s">
        <v>310</v>
      </c>
      <c r="E331" s="10" t="s">
        <v>107</v>
      </c>
      <c r="F331" s="10" t="s">
        <v>16</v>
      </c>
    </row>
    <row r="332" spans="1:6">
      <c r="A332" s="10" t="s">
        <v>1120</v>
      </c>
      <c r="B332" s="15" t="s">
        <v>1121</v>
      </c>
      <c r="C332" s="10" t="s">
        <v>1084</v>
      </c>
      <c r="D332" s="10" t="s">
        <v>310</v>
      </c>
      <c r="E332" s="10" t="s">
        <v>49</v>
      </c>
      <c r="F332" s="10" t="s">
        <v>16</v>
      </c>
    </row>
    <row r="333" spans="1:6">
      <c r="A333" s="10" t="s">
        <v>1122</v>
      </c>
      <c r="B333" s="15" t="s">
        <v>1123</v>
      </c>
      <c r="C333" s="10" t="s">
        <v>1084</v>
      </c>
      <c r="D333" s="10" t="s">
        <v>310</v>
      </c>
      <c r="E333" s="10" t="s">
        <v>49</v>
      </c>
      <c r="F333" s="10" t="s">
        <v>16</v>
      </c>
    </row>
    <row r="334" spans="1:6">
      <c r="A334" s="10" t="s">
        <v>1124</v>
      </c>
      <c r="B334" s="15" t="s">
        <v>1125</v>
      </c>
      <c r="C334" s="10" t="s">
        <v>1084</v>
      </c>
      <c r="D334" s="10" t="s">
        <v>310</v>
      </c>
      <c r="E334" s="10" t="s">
        <v>107</v>
      </c>
      <c r="F334" s="10" t="s">
        <v>16</v>
      </c>
    </row>
    <row r="335" spans="1:6">
      <c r="A335" s="10" t="s">
        <v>1126</v>
      </c>
      <c r="B335" s="12" t="s">
        <v>1127</v>
      </c>
      <c r="C335" s="10" t="s">
        <v>1084</v>
      </c>
      <c r="D335" s="26" t="s">
        <v>310</v>
      </c>
      <c r="E335" s="10" t="s">
        <v>107</v>
      </c>
      <c r="F335" s="10" t="s">
        <v>16</v>
      </c>
    </row>
    <row r="336" spans="1:6">
      <c r="A336" s="10" t="s">
        <v>1128</v>
      </c>
      <c r="B336" s="12" t="s">
        <v>1129</v>
      </c>
      <c r="C336" s="10" t="s">
        <v>1084</v>
      </c>
      <c r="D336" s="26" t="s">
        <v>310</v>
      </c>
      <c r="E336" s="10" t="s">
        <v>49</v>
      </c>
      <c r="F336" s="10" t="s">
        <v>16</v>
      </c>
    </row>
    <row r="337" spans="1:6">
      <c r="A337" s="10" t="s">
        <v>1130</v>
      </c>
      <c r="B337" s="12" t="s">
        <v>1131</v>
      </c>
      <c r="C337" s="10" t="s">
        <v>1084</v>
      </c>
      <c r="D337" s="10" t="s">
        <v>310</v>
      </c>
      <c r="E337" s="10" t="s">
        <v>107</v>
      </c>
      <c r="F337" s="10" t="s">
        <v>16</v>
      </c>
    </row>
    <row r="338" spans="1:6">
      <c r="A338" s="10" t="s">
        <v>1132</v>
      </c>
      <c r="B338" s="12" t="s">
        <v>1133</v>
      </c>
      <c r="C338" s="10" t="s">
        <v>1084</v>
      </c>
      <c r="D338" s="10" t="s">
        <v>310</v>
      </c>
      <c r="E338" s="10" t="s">
        <v>49</v>
      </c>
      <c r="F338" s="10" t="s">
        <v>16</v>
      </c>
    </row>
    <row r="339" spans="1:6">
      <c r="A339" s="10" t="s">
        <v>1134</v>
      </c>
      <c r="B339" s="12" t="s">
        <v>1135</v>
      </c>
      <c r="C339" s="10" t="s">
        <v>1084</v>
      </c>
      <c r="D339" s="26" t="s">
        <v>310</v>
      </c>
      <c r="E339" s="10" t="s">
        <v>107</v>
      </c>
      <c r="F339" s="10" t="s">
        <v>16</v>
      </c>
    </row>
    <row r="340" spans="1:6">
      <c r="A340" s="10" t="s">
        <v>1136</v>
      </c>
      <c r="B340" s="12" t="s">
        <v>1137</v>
      </c>
      <c r="C340" s="10" t="s">
        <v>1084</v>
      </c>
      <c r="D340" s="10" t="s">
        <v>310</v>
      </c>
      <c r="E340" s="10" t="s">
        <v>107</v>
      </c>
      <c r="F340" s="10" t="s">
        <v>16</v>
      </c>
    </row>
    <row r="341" spans="1:6">
      <c r="A341" s="10" t="s">
        <v>1138</v>
      </c>
      <c r="B341" s="12" t="s">
        <v>1139</v>
      </c>
      <c r="C341" s="10" t="s">
        <v>1084</v>
      </c>
      <c r="D341" s="10" t="s">
        <v>310</v>
      </c>
      <c r="E341" s="10" t="s">
        <v>107</v>
      </c>
      <c r="F341" s="10" t="s">
        <v>16</v>
      </c>
    </row>
    <row r="342" spans="1:6">
      <c r="A342" s="10" t="s">
        <v>1140</v>
      </c>
      <c r="B342" s="12" t="s">
        <v>1141</v>
      </c>
      <c r="C342" s="10" t="s">
        <v>1084</v>
      </c>
      <c r="D342" s="10" t="s">
        <v>310</v>
      </c>
      <c r="E342" s="10" t="s">
        <v>102</v>
      </c>
      <c r="F342" s="10" t="s">
        <v>16</v>
      </c>
    </row>
    <row r="343" spans="1:6">
      <c r="A343" s="10" t="s">
        <v>1142</v>
      </c>
      <c r="B343" s="12" t="s">
        <v>1143</v>
      </c>
      <c r="C343" s="10" t="s">
        <v>1084</v>
      </c>
      <c r="D343" s="10" t="s">
        <v>310</v>
      </c>
      <c r="E343" s="10" t="s">
        <v>107</v>
      </c>
      <c r="F343" s="10" t="s">
        <v>16</v>
      </c>
    </row>
    <row r="344" spans="1:6">
      <c r="A344" s="10" t="s">
        <v>1144</v>
      </c>
      <c r="B344" s="12" t="s">
        <v>1145</v>
      </c>
      <c r="C344" s="10" t="s">
        <v>1084</v>
      </c>
      <c r="D344" s="10" t="s">
        <v>310</v>
      </c>
      <c r="E344" s="10" t="s">
        <v>107</v>
      </c>
      <c r="F344" s="10" t="s">
        <v>16</v>
      </c>
    </row>
    <row r="345" spans="1:6">
      <c r="A345" s="10" t="s">
        <v>1146</v>
      </c>
      <c r="B345" s="12" t="s">
        <v>1147</v>
      </c>
      <c r="C345" s="10" t="s">
        <v>1084</v>
      </c>
      <c r="D345" s="10" t="s">
        <v>310</v>
      </c>
      <c r="E345" s="10" t="s">
        <v>107</v>
      </c>
      <c r="F345" s="10" t="s">
        <v>16</v>
      </c>
    </row>
    <row r="346" spans="1:6">
      <c r="A346" s="10" t="s">
        <v>1148</v>
      </c>
      <c r="B346" s="12" t="s">
        <v>1149</v>
      </c>
      <c r="C346" s="10" t="s">
        <v>1084</v>
      </c>
      <c r="D346" s="10" t="s">
        <v>310</v>
      </c>
      <c r="E346" s="10" t="s">
        <v>107</v>
      </c>
      <c r="F346" s="10" t="s">
        <v>16</v>
      </c>
    </row>
    <row r="347" spans="1:6">
      <c r="A347" s="10" t="s">
        <v>1150</v>
      </c>
      <c r="B347" s="12" t="s">
        <v>1151</v>
      </c>
      <c r="C347" s="10" t="s">
        <v>1084</v>
      </c>
      <c r="D347" s="26" t="s">
        <v>310</v>
      </c>
      <c r="E347" s="10" t="s">
        <v>49</v>
      </c>
      <c r="F347" s="10" t="s">
        <v>16</v>
      </c>
    </row>
    <row r="348" spans="1:6">
      <c r="A348" s="10" t="s">
        <v>1152</v>
      </c>
      <c r="B348" s="12" t="s">
        <v>1153</v>
      </c>
      <c r="C348" s="10" t="s">
        <v>1084</v>
      </c>
      <c r="D348" s="26" t="s">
        <v>310</v>
      </c>
      <c r="E348" s="10" t="s">
        <v>49</v>
      </c>
      <c r="F348" s="10" t="s">
        <v>16</v>
      </c>
    </row>
    <row r="349" spans="1:6">
      <c r="A349" s="10" t="s">
        <v>1154</v>
      </c>
      <c r="B349" s="12" t="s">
        <v>1155</v>
      </c>
      <c r="C349" s="10" t="s">
        <v>1084</v>
      </c>
      <c r="D349" s="10" t="s">
        <v>310</v>
      </c>
      <c r="E349" s="10" t="s">
        <v>49</v>
      </c>
      <c r="F349" s="10" t="s">
        <v>16</v>
      </c>
    </row>
    <row r="350" spans="1:6">
      <c r="A350" s="10" t="s">
        <v>1156</v>
      </c>
      <c r="B350" s="12" t="s">
        <v>1157</v>
      </c>
      <c r="C350" s="10" t="s">
        <v>1084</v>
      </c>
      <c r="D350" s="26" t="s">
        <v>310</v>
      </c>
      <c r="E350" s="10" t="s">
        <v>107</v>
      </c>
      <c r="F350" s="10" t="s">
        <v>16</v>
      </c>
    </row>
    <row r="351" spans="1:6">
      <c r="A351" s="10" t="s">
        <v>1158</v>
      </c>
      <c r="B351" s="12" t="s">
        <v>1159</v>
      </c>
      <c r="C351" s="10" t="s">
        <v>1084</v>
      </c>
      <c r="D351" s="10" t="s">
        <v>310</v>
      </c>
      <c r="E351" s="10" t="s">
        <v>204</v>
      </c>
      <c r="F351" s="10" t="s">
        <v>16</v>
      </c>
    </row>
    <row r="352" spans="1:6">
      <c r="A352" s="10" t="s">
        <v>1160</v>
      </c>
      <c r="B352" s="12" t="s">
        <v>1161</v>
      </c>
      <c r="C352" s="10" t="s">
        <v>1084</v>
      </c>
      <c r="D352" s="10" t="s">
        <v>310</v>
      </c>
      <c r="E352" s="10" t="s">
        <v>204</v>
      </c>
      <c r="F352" s="10" t="s">
        <v>16</v>
      </c>
    </row>
    <row r="353" spans="1:6">
      <c r="A353" s="10" t="s">
        <v>1162</v>
      </c>
      <c r="B353" s="12" t="s">
        <v>1163</v>
      </c>
      <c r="C353" s="10" t="s">
        <v>1084</v>
      </c>
      <c r="D353" s="10" t="s">
        <v>310</v>
      </c>
      <c r="E353" s="10" t="s">
        <v>107</v>
      </c>
      <c r="F353" s="10" t="s">
        <v>16</v>
      </c>
    </row>
    <row r="354" spans="1:6">
      <c r="A354" s="10" t="s">
        <v>1164</v>
      </c>
      <c r="B354" s="12" t="s">
        <v>1165</v>
      </c>
      <c r="C354" s="10" t="s">
        <v>1084</v>
      </c>
      <c r="D354" s="10" t="s">
        <v>310</v>
      </c>
      <c r="E354" s="10" t="s">
        <v>107</v>
      </c>
      <c r="F354" s="10" t="s">
        <v>16</v>
      </c>
    </row>
    <row r="355" spans="1:6">
      <c r="A355" s="10" t="s">
        <v>1166</v>
      </c>
      <c r="B355" s="12" t="s">
        <v>1167</v>
      </c>
      <c r="C355" s="10" t="s">
        <v>1084</v>
      </c>
      <c r="D355" s="10" t="s">
        <v>310</v>
      </c>
      <c r="E355" s="10" t="s">
        <v>204</v>
      </c>
      <c r="F355" s="10" t="s">
        <v>16</v>
      </c>
    </row>
    <row r="356" spans="1:6">
      <c r="A356" s="10" t="s">
        <v>1168</v>
      </c>
      <c r="B356" s="12" t="s">
        <v>1169</v>
      </c>
      <c r="C356" s="10" t="s">
        <v>1084</v>
      </c>
      <c r="D356" s="10" t="s">
        <v>310</v>
      </c>
      <c r="E356" s="10" t="s">
        <v>107</v>
      </c>
      <c r="F356" s="10" t="s">
        <v>16</v>
      </c>
    </row>
    <row r="357" spans="1:6">
      <c r="A357" s="10" t="s">
        <v>1170</v>
      </c>
      <c r="B357" s="12" t="s">
        <v>1171</v>
      </c>
      <c r="C357" s="10" t="s">
        <v>1084</v>
      </c>
      <c r="D357" s="10" t="s">
        <v>310</v>
      </c>
      <c r="E357" s="10" t="s">
        <v>107</v>
      </c>
      <c r="F357" s="10" t="s">
        <v>16</v>
      </c>
    </row>
    <row r="358" spans="1:6">
      <c r="A358" s="10" t="s">
        <v>1172</v>
      </c>
      <c r="B358" s="12" t="s">
        <v>1173</v>
      </c>
      <c r="C358" s="10" t="s">
        <v>1084</v>
      </c>
      <c r="D358" s="10" t="s">
        <v>310</v>
      </c>
      <c r="E358" s="10" t="s">
        <v>49</v>
      </c>
      <c r="F358" s="10" t="s">
        <v>16</v>
      </c>
    </row>
    <row r="359" spans="1:6">
      <c r="A359" s="10" t="s">
        <v>1174</v>
      </c>
      <c r="B359" s="12" t="s">
        <v>1175</v>
      </c>
      <c r="C359" s="10" t="s">
        <v>1084</v>
      </c>
      <c r="D359" s="10" t="s">
        <v>310</v>
      </c>
      <c r="E359" s="10" t="s">
        <v>107</v>
      </c>
      <c r="F359" s="10" t="s">
        <v>16</v>
      </c>
    </row>
    <row r="360" spans="1:6">
      <c r="A360" s="10" t="s">
        <v>1176</v>
      </c>
      <c r="B360" s="12" t="s">
        <v>1177</v>
      </c>
      <c r="C360" s="10" t="s">
        <v>1084</v>
      </c>
      <c r="D360" s="10" t="s">
        <v>310</v>
      </c>
      <c r="E360" s="10" t="s">
        <v>107</v>
      </c>
      <c r="F360" s="10" t="s">
        <v>16</v>
      </c>
    </row>
    <row r="361" spans="1:6">
      <c r="A361" s="10" t="s">
        <v>1178</v>
      </c>
      <c r="B361" s="12" t="s">
        <v>1179</v>
      </c>
      <c r="C361" s="10" t="s">
        <v>1084</v>
      </c>
      <c r="D361" s="10" t="s">
        <v>310</v>
      </c>
      <c r="E361" s="10" t="s">
        <v>107</v>
      </c>
      <c r="F361" s="10" t="s">
        <v>16</v>
      </c>
    </row>
    <row r="362" spans="1:6">
      <c r="A362" s="10" t="s">
        <v>1180</v>
      </c>
      <c r="B362" s="12" t="s">
        <v>1181</v>
      </c>
      <c r="C362" s="10" t="s">
        <v>1084</v>
      </c>
      <c r="D362" s="10" t="s">
        <v>310</v>
      </c>
      <c r="E362" s="10" t="s">
        <v>107</v>
      </c>
      <c r="F362" s="10" t="s">
        <v>16</v>
      </c>
    </row>
    <row r="363" spans="1:6">
      <c r="A363" s="10" t="s">
        <v>1182</v>
      </c>
      <c r="B363" s="12" t="s">
        <v>1183</v>
      </c>
      <c r="C363" s="10" t="s">
        <v>1084</v>
      </c>
      <c r="D363" s="10" t="s">
        <v>310</v>
      </c>
      <c r="E363" s="10" t="s">
        <v>107</v>
      </c>
      <c r="F363" s="10" t="s">
        <v>16</v>
      </c>
    </row>
    <row r="364" spans="1:6">
      <c r="A364" s="10" t="s">
        <v>1184</v>
      </c>
      <c r="B364" s="12" t="s">
        <v>1185</v>
      </c>
      <c r="C364" s="10" t="s">
        <v>1084</v>
      </c>
      <c r="D364" s="10" t="s">
        <v>310</v>
      </c>
      <c r="E364" s="10" t="s">
        <v>49</v>
      </c>
      <c r="F364" s="10" t="s">
        <v>16</v>
      </c>
    </row>
    <row r="365" spans="1:6">
      <c r="A365" s="11" t="s">
        <v>1186</v>
      </c>
      <c r="B365" s="12" t="s">
        <v>77</v>
      </c>
      <c r="C365" s="10" t="s">
        <v>15</v>
      </c>
      <c r="D365" s="10" t="s">
        <v>77</v>
      </c>
      <c r="E365" s="10" t="s">
        <v>15</v>
      </c>
      <c r="F365" s="10" t="s">
        <v>16</v>
      </c>
    </row>
    <row r="366" spans="1:6">
      <c r="A366" s="11" t="s">
        <v>1187</v>
      </c>
      <c r="B366" s="12" t="s">
        <v>1188</v>
      </c>
      <c r="C366" s="10" t="s">
        <v>15</v>
      </c>
      <c r="D366" s="10" t="s">
        <v>77</v>
      </c>
      <c r="E366" s="10" t="s">
        <v>15</v>
      </c>
      <c r="F366" s="10" t="s">
        <v>16</v>
      </c>
    </row>
    <row r="367" spans="1:6">
      <c r="A367" s="10" t="s">
        <v>1189</v>
      </c>
      <c r="B367" s="12" t="s">
        <v>1190</v>
      </c>
      <c r="C367" s="10" t="s">
        <v>15</v>
      </c>
      <c r="D367" s="10" t="s">
        <v>77</v>
      </c>
      <c r="E367" s="10" t="s">
        <v>15</v>
      </c>
      <c r="F367" s="10" t="s">
        <v>16</v>
      </c>
    </row>
    <row r="368" spans="1:6">
      <c r="A368" s="10" t="s">
        <v>1191</v>
      </c>
      <c r="B368" s="12" t="s">
        <v>1192</v>
      </c>
      <c r="C368" s="10" t="s">
        <v>15</v>
      </c>
      <c r="D368" s="10" t="s">
        <v>77</v>
      </c>
      <c r="E368" s="10" t="s">
        <v>15</v>
      </c>
      <c r="F368" s="10" t="s">
        <v>16</v>
      </c>
    </row>
    <row r="369" spans="1:6">
      <c r="A369" s="10" t="s">
        <v>1193</v>
      </c>
      <c r="B369" s="12" t="s">
        <v>1194</v>
      </c>
      <c r="C369" s="10" t="s">
        <v>15</v>
      </c>
      <c r="D369" s="10" t="s">
        <v>77</v>
      </c>
      <c r="E369" s="10" t="s">
        <v>15</v>
      </c>
      <c r="F369" s="10" t="s">
        <v>16</v>
      </c>
    </row>
    <row r="370" spans="1:6">
      <c r="A370" s="10" t="s">
        <v>1195</v>
      </c>
      <c r="B370" s="12" t="s">
        <v>1196</v>
      </c>
      <c r="C370" s="10" t="s">
        <v>15</v>
      </c>
      <c r="D370" s="10" t="s">
        <v>77</v>
      </c>
      <c r="E370" s="10" t="s">
        <v>15</v>
      </c>
      <c r="F370" s="10" t="s">
        <v>16</v>
      </c>
    </row>
    <row r="371" spans="1:6">
      <c r="A371" s="10" t="s">
        <v>1197</v>
      </c>
      <c r="B371" s="12" t="s">
        <v>1198</v>
      </c>
      <c r="C371" s="10" t="s">
        <v>1199</v>
      </c>
      <c r="D371" s="10" t="s">
        <v>338</v>
      </c>
      <c r="E371" s="10" t="str">
        <f>IFERROR(VLOOKUP(Tabela55[[#This Row],[Abrev]],Nucleos!$B$2:$G$199,5,0),"Verificar com o setor")</f>
        <v>INTERIOR SP</v>
      </c>
      <c r="F371" s="10" t="s">
        <v>16</v>
      </c>
    </row>
    <row r="372" spans="1:6">
      <c r="A372" s="10" t="s">
        <v>1200</v>
      </c>
      <c r="B372" s="12" t="s">
        <v>1201</v>
      </c>
      <c r="C372" s="10" t="s">
        <v>1199</v>
      </c>
      <c r="D372" s="10" t="s">
        <v>338</v>
      </c>
      <c r="E372" s="10" t="str">
        <f>IFERROR(VLOOKUP(Tabela55[[#This Row],[Abrev]],Nucleos!$B$2:$G$199,5,0),"Verificar com o setor")</f>
        <v>INTERIOR SP</v>
      </c>
      <c r="F372" s="10" t="s">
        <v>16</v>
      </c>
    </row>
    <row r="373" spans="1:6">
      <c r="A373" s="10" t="s">
        <v>1202</v>
      </c>
      <c r="B373" s="12" t="s">
        <v>1203</v>
      </c>
      <c r="C373" s="10" t="s">
        <v>1199</v>
      </c>
      <c r="D373" s="10" t="s">
        <v>338</v>
      </c>
      <c r="E373" s="10" t="str">
        <f>IFERROR(VLOOKUP(Tabela55[[#This Row],[Abrev]],Nucleos!$B$2:$G$199,5,0),"Verificar com o setor")</f>
        <v>INTERIOR SP</v>
      </c>
      <c r="F373" s="10" t="s">
        <v>16</v>
      </c>
    </row>
    <row r="374" spans="1:6">
      <c r="A374" s="11" t="s">
        <v>1204</v>
      </c>
      <c r="B374" s="12" t="s">
        <v>338</v>
      </c>
      <c r="C374" s="10" t="s">
        <v>1199</v>
      </c>
      <c r="D374" s="10" t="s">
        <v>338</v>
      </c>
      <c r="E374" s="10" t="str">
        <f>IFERROR(VLOOKUP(Tabela55[[#This Row],[Abrev]],Nucleos!$B$2:$G$199,5,0),"Verificar com o setor")</f>
        <v>INTERIOR SP</v>
      </c>
      <c r="F374" s="10" t="s">
        <v>16</v>
      </c>
    </row>
    <row r="375" spans="1:6">
      <c r="A375" s="11" t="s">
        <v>1205</v>
      </c>
      <c r="B375" s="12" t="s">
        <v>1206</v>
      </c>
      <c r="C375" s="10" t="s">
        <v>1199</v>
      </c>
      <c r="D375" s="10" t="s">
        <v>338</v>
      </c>
      <c r="E375" s="10" t="str">
        <f>IFERROR(VLOOKUP(Tabela55[[#This Row],[Abrev]],Nucleos!$B$2:$G$199,5,0),"Verificar com o setor")</f>
        <v>INTERIOR SP</v>
      </c>
      <c r="F375" s="10" t="s">
        <v>16</v>
      </c>
    </row>
    <row r="376" spans="1:6">
      <c r="A376" s="10" t="s">
        <v>1207</v>
      </c>
      <c r="B376" s="12" t="s">
        <v>1208</v>
      </c>
      <c r="C376" s="10" t="s">
        <v>1199</v>
      </c>
      <c r="D376" s="10" t="s">
        <v>338</v>
      </c>
      <c r="E376" s="10" t="str">
        <f>IFERROR(VLOOKUP(Tabela55[[#This Row],[Abrev]],Nucleos!$B$2:$G$199,5,0),"Verificar com o setor")</f>
        <v>INTERIOR SP</v>
      </c>
      <c r="F376" s="10" t="s">
        <v>16</v>
      </c>
    </row>
    <row r="377" spans="1:6">
      <c r="A377" s="10" t="s">
        <v>1209</v>
      </c>
      <c r="B377" s="15" t="s">
        <v>1210</v>
      </c>
      <c r="C377" s="10" t="s">
        <v>1199</v>
      </c>
      <c r="D377" s="10" t="s">
        <v>338</v>
      </c>
      <c r="E377" s="10" t="str">
        <f>IFERROR(VLOOKUP(Tabela55[[#This Row],[Abrev]],Nucleos!$B$2:$G$199,5,0),"Verificar com o setor")</f>
        <v>INTERIOR SP</v>
      </c>
      <c r="F377" s="10" t="s">
        <v>16</v>
      </c>
    </row>
    <row r="378" spans="1:6">
      <c r="A378" s="10" t="s">
        <v>1211</v>
      </c>
      <c r="B378" s="12" t="s">
        <v>1212</v>
      </c>
      <c r="C378" s="10" t="s">
        <v>1199</v>
      </c>
      <c r="D378" s="10" t="s">
        <v>338</v>
      </c>
      <c r="E378" s="10" t="str">
        <f>IFERROR(VLOOKUP(Tabela55[[#This Row],[Abrev]],Nucleos!$B$2:$G$199,5,0),"Verificar com o setor")</f>
        <v>INTERIOR SP</v>
      </c>
      <c r="F378" s="10" t="s">
        <v>16</v>
      </c>
    </row>
    <row r="379" spans="1:6">
      <c r="A379" s="13" t="s">
        <v>1213</v>
      </c>
      <c r="B379" s="12" t="s">
        <v>1214</v>
      </c>
      <c r="C379" s="10" t="s">
        <v>1199</v>
      </c>
      <c r="D379" s="10" t="s">
        <v>338</v>
      </c>
      <c r="E379" s="10" t="str">
        <f>IFERROR(VLOOKUP(Tabela55[[#This Row],[Abrev]],Nucleos!$B$2:$G$199,5,0),"Verificar com o setor")</f>
        <v>INTERIOR SP</v>
      </c>
      <c r="F379" s="10" t="s">
        <v>16</v>
      </c>
    </row>
    <row r="380" spans="1:6">
      <c r="A380" s="10" t="s">
        <v>1215</v>
      </c>
      <c r="B380" s="12" t="s">
        <v>1216</v>
      </c>
      <c r="C380" s="10" t="s">
        <v>1199</v>
      </c>
      <c r="D380" s="10" t="s">
        <v>338</v>
      </c>
      <c r="E380" s="10" t="str">
        <f>IFERROR(VLOOKUP(Tabela55[[#This Row],[Abrev]],Nucleos!$B$2:$G$199,5,0),"Verificar com o setor")</f>
        <v>INTERIOR SP</v>
      </c>
      <c r="F380" s="10" t="s">
        <v>16</v>
      </c>
    </row>
    <row r="381" spans="1:6">
      <c r="A381" s="11" t="s">
        <v>1217</v>
      </c>
      <c r="B381" s="12" t="s">
        <v>341</v>
      </c>
      <c r="C381" s="10" t="s">
        <v>271</v>
      </c>
      <c r="D381" s="10" t="s">
        <v>341</v>
      </c>
      <c r="E381" s="10" t="str">
        <f>IFERROR(VLOOKUP(Tabela55[[#This Row],[Abrev]],Nucleos!$B$2:$G$199,5,0),"Verificar com o setor")</f>
        <v>SANTOS</v>
      </c>
      <c r="F381" s="10" t="s">
        <v>16</v>
      </c>
    </row>
    <row r="382" spans="1:6">
      <c r="A382" s="11" t="s">
        <v>1218</v>
      </c>
      <c r="B382" s="12" t="s">
        <v>1219</v>
      </c>
      <c r="C382" s="10" t="s">
        <v>271</v>
      </c>
      <c r="D382" s="10" t="s">
        <v>341</v>
      </c>
      <c r="E382" s="10" t="str">
        <f>IFERROR(VLOOKUP(Tabela55[[#This Row],[Abrev]],Nucleos!$B$2:$G$199,5,0),"Verificar com o setor")</f>
        <v>SANTOS</v>
      </c>
      <c r="F382" s="10" t="s">
        <v>16</v>
      </c>
    </row>
    <row r="383" spans="1:6">
      <c r="A383" s="11" t="s">
        <v>1220</v>
      </c>
      <c r="B383" s="12" t="s">
        <v>363</v>
      </c>
      <c r="C383" s="10" t="s">
        <v>271</v>
      </c>
      <c r="D383" s="10" t="s">
        <v>341</v>
      </c>
      <c r="E383" s="10" t="str">
        <f>IFERROR(VLOOKUP(Tabela55[[#This Row],[Abrev]],Nucleos!$B$2:$G$199,5,0),"Verificar com o setor")</f>
        <v>SANTOS</v>
      </c>
      <c r="F383" s="10" t="s">
        <v>16</v>
      </c>
    </row>
    <row r="384" spans="1:6">
      <c r="A384" s="11" t="s">
        <v>1221</v>
      </c>
      <c r="B384" s="12" t="s">
        <v>1222</v>
      </c>
      <c r="C384" s="10" t="s">
        <v>271</v>
      </c>
      <c r="D384" s="10" t="s">
        <v>341</v>
      </c>
      <c r="E384" s="10" t="str">
        <f>IFERROR(VLOOKUP(Tabela55[[#This Row],[Abrev]],Nucleos!$B$2:$G$199,5,0),"Verificar com o setor")</f>
        <v>SANTOS</v>
      </c>
      <c r="F384" s="10" t="s">
        <v>16</v>
      </c>
    </row>
    <row r="385" spans="1:6">
      <c r="A385" s="11" t="s">
        <v>1223</v>
      </c>
      <c r="B385" s="12" t="s">
        <v>1224</v>
      </c>
      <c r="C385" s="10" t="s">
        <v>271</v>
      </c>
      <c r="D385" s="10" t="s">
        <v>341</v>
      </c>
      <c r="E385" s="10" t="str">
        <f>IFERROR(VLOOKUP(Tabela55[[#This Row],[Abrev]],Nucleos!$B$2:$G$199,5,0),"Verificar com o setor")</f>
        <v>SANTOS</v>
      </c>
      <c r="F385" s="10" t="s">
        <v>16</v>
      </c>
    </row>
    <row r="386" spans="1:6">
      <c r="A386" s="11" t="s">
        <v>1225</v>
      </c>
      <c r="B386" s="12" t="s">
        <v>1226</v>
      </c>
      <c r="C386" s="10" t="s">
        <v>271</v>
      </c>
      <c r="D386" s="10" t="s">
        <v>341</v>
      </c>
      <c r="E386" s="10" t="str">
        <f>IFERROR(VLOOKUP(Tabela55[[#This Row],[Abrev]],Nucleos!$B$2:$G$199,5,0),"Verificar com o setor")</f>
        <v>SANTOS</v>
      </c>
      <c r="F386" s="10" t="s">
        <v>16</v>
      </c>
    </row>
    <row r="387" spans="1:6">
      <c r="A387" s="11" t="s">
        <v>1227</v>
      </c>
      <c r="B387" s="12" t="s">
        <v>1228</v>
      </c>
      <c r="C387" s="10" t="s">
        <v>271</v>
      </c>
      <c r="D387" s="10" t="s">
        <v>341</v>
      </c>
      <c r="E387" s="10" t="str">
        <f>IFERROR(VLOOKUP(Tabela55[[#This Row],[Abrev]],Nucleos!$B$2:$G$199,5,0),"Verificar com o setor")</f>
        <v>SANTOS</v>
      </c>
      <c r="F387" s="10" t="s">
        <v>16</v>
      </c>
    </row>
    <row r="388" spans="1:6">
      <c r="A388" s="11" t="s">
        <v>1229</v>
      </c>
      <c r="B388" s="12" t="s">
        <v>1230</v>
      </c>
      <c r="C388" s="10" t="s">
        <v>271</v>
      </c>
      <c r="D388" s="10" t="s">
        <v>341</v>
      </c>
      <c r="E388" s="10" t="str">
        <f>IFERROR(VLOOKUP(Tabela55[[#This Row],[Abrev]],Nucleos!$B$2:$G$199,5,0),"Verificar com o setor")</f>
        <v>SANTOS</v>
      </c>
      <c r="F388" s="10" t="s">
        <v>16</v>
      </c>
    </row>
    <row r="389" spans="1:6">
      <c r="A389" s="11" t="s">
        <v>1231</v>
      </c>
      <c r="B389" s="12" t="s">
        <v>1232</v>
      </c>
      <c r="C389" s="10" t="s">
        <v>271</v>
      </c>
      <c r="D389" s="10" t="s">
        <v>341</v>
      </c>
      <c r="E389" s="10" t="str">
        <f>IFERROR(VLOOKUP(Tabela55[[#This Row],[Abrev]],Nucleos!$B$2:$G$199,5,0),"Verificar com o setor")</f>
        <v>SANTOS</v>
      </c>
      <c r="F389" s="10" t="s">
        <v>16</v>
      </c>
    </row>
    <row r="390" spans="1:6">
      <c r="A390" s="11" t="s">
        <v>1233</v>
      </c>
      <c r="B390" s="12" t="s">
        <v>1234</v>
      </c>
      <c r="C390" s="10" t="s">
        <v>271</v>
      </c>
      <c r="D390" s="10" t="s">
        <v>341</v>
      </c>
      <c r="E390" s="10" t="str">
        <f>IFERROR(VLOOKUP(Tabela55[[#This Row],[Abrev]],Nucleos!$B$2:$G$199,5,0),"Verificar com o setor")</f>
        <v>SANTOS</v>
      </c>
      <c r="F390" s="10" t="s">
        <v>16</v>
      </c>
    </row>
    <row r="391" spans="1:6">
      <c r="A391" s="11" t="s">
        <v>1235</v>
      </c>
      <c r="B391" s="12" t="s">
        <v>1236</v>
      </c>
      <c r="C391" s="10" t="s">
        <v>271</v>
      </c>
      <c r="D391" s="10" t="s">
        <v>341</v>
      </c>
      <c r="E391" s="10" t="str">
        <f>IFERROR(VLOOKUP(Tabela55[[#This Row],[Abrev]],Nucleos!$B$2:$G$199,5,0),"Verificar com o setor")</f>
        <v>SANTOS</v>
      </c>
      <c r="F391" s="10" t="s">
        <v>16</v>
      </c>
    </row>
    <row r="392" spans="1:6">
      <c r="A392" s="11" t="s">
        <v>1237</v>
      </c>
      <c r="B392" s="12" t="s">
        <v>1238</v>
      </c>
      <c r="C392" s="10" t="s">
        <v>271</v>
      </c>
      <c r="D392" s="10" t="s">
        <v>341</v>
      </c>
      <c r="E392" s="10" t="str">
        <f>IFERROR(VLOOKUP(Tabela55[[#This Row],[Abrev]],Nucleos!$B$2:$G$199,5,0),"Verificar com o setor")</f>
        <v>SANTOS</v>
      </c>
      <c r="F392" s="10" t="s">
        <v>16</v>
      </c>
    </row>
    <row r="393" spans="1:6">
      <c r="A393" s="11" t="s">
        <v>1239</v>
      </c>
      <c r="B393" s="12" t="s">
        <v>1240</v>
      </c>
      <c r="C393" s="10" t="s">
        <v>271</v>
      </c>
      <c r="D393" s="10" t="s">
        <v>341</v>
      </c>
      <c r="E393" s="10" t="str">
        <f>IFERROR(VLOOKUP(Tabela55[[#This Row],[Abrev]],Nucleos!$B$2:$G$199,5,0),"Verificar com o setor")</f>
        <v>SANTOS</v>
      </c>
      <c r="F393" s="10" t="s">
        <v>16</v>
      </c>
    </row>
    <row r="394" spans="1:6">
      <c r="A394" s="11" t="s">
        <v>1241</v>
      </c>
      <c r="B394" s="12" t="s">
        <v>1242</v>
      </c>
      <c r="C394" s="10" t="s">
        <v>271</v>
      </c>
      <c r="D394" s="10" t="s">
        <v>341</v>
      </c>
      <c r="E394" s="10" t="str">
        <f>IFERROR(VLOOKUP(Tabela55[[#This Row],[Abrev]],Nucleos!$B$2:$G$199,5,0),"Verificar com o setor")</f>
        <v>SANTOS</v>
      </c>
      <c r="F394" s="10" t="s">
        <v>16</v>
      </c>
    </row>
    <row r="395" spans="1:6">
      <c r="A395" s="11" t="s">
        <v>1243</v>
      </c>
      <c r="B395" s="12" t="s">
        <v>1244</v>
      </c>
      <c r="C395" s="10" t="s">
        <v>271</v>
      </c>
      <c r="D395" s="10" t="s">
        <v>341</v>
      </c>
      <c r="E395" s="10" t="str">
        <f>IFERROR(VLOOKUP(Tabela55[[#This Row],[Abrev]],Nucleos!$B$2:$G$199,5,0),"Verificar com o setor")</f>
        <v>SANTOS</v>
      </c>
      <c r="F395" s="10" t="s">
        <v>16</v>
      </c>
    </row>
    <row r="396" spans="1:6">
      <c r="A396" s="11" t="s">
        <v>1245</v>
      </c>
      <c r="B396" s="12" t="s">
        <v>1246</v>
      </c>
      <c r="C396" s="10" t="s">
        <v>271</v>
      </c>
      <c r="D396" s="10" t="s">
        <v>341</v>
      </c>
      <c r="E396" s="10" t="str">
        <f>IFERROR(VLOOKUP(Tabela55[[#This Row],[Abrev]],Nucleos!$B$2:$G$199,5,0),"Verificar com o setor")</f>
        <v>SANTOS</v>
      </c>
      <c r="F396" s="10" t="s">
        <v>16</v>
      </c>
    </row>
    <row r="397" spans="1:6">
      <c r="A397" s="10" t="s">
        <v>1247</v>
      </c>
      <c r="B397" s="12" t="s">
        <v>1248</v>
      </c>
      <c r="C397" s="10" t="s">
        <v>271</v>
      </c>
      <c r="D397" s="10" t="s">
        <v>341</v>
      </c>
      <c r="E397" s="10" t="str">
        <f>IFERROR(VLOOKUP(Tabela55[[#This Row],[Abrev]],Nucleos!$B$2:$G$199,5,0),"Verificar com o setor")</f>
        <v>SANTOS</v>
      </c>
      <c r="F397" s="10" t="s">
        <v>16</v>
      </c>
    </row>
    <row r="398" spans="1:6">
      <c r="A398" s="10" t="s">
        <v>1249</v>
      </c>
      <c r="B398" s="12" t="s">
        <v>1250</v>
      </c>
      <c r="C398" s="10" t="s">
        <v>271</v>
      </c>
      <c r="D398" s="10" t="s">
        <v>341</v>
      </c>
      <c r="E398" s="10" t="str">
        <f>IFERROR(VLOOKUP(Tabela55[[#This Row],[Abrev]],Nucleos!$B$2:$G$199,5,0),"Verificar com o setor")</f>
        <v>SANTOS</v>
      </c>
      <c r="F398" s="10" t="s">
        <v>16</v>
      </c>
    </row>
    <row r="399" spans="1:6">
      <c r="A399" s="10" t="s">
        <v>1251</v>
      </c>
      <c r="B399" s="12" t="s">
        <v>1252</v>
      </c>
      <c r="C399" s="10" t="s">
        <v>271</v>
      </c>
      <c r="D399" s="10" t="s">
        <v>341</v>
      </c>
      <c r="E399" s="10" t="str">
        <f>IFERROR(VLOOKUP(Tabela55[[#This Row],[Abrev]],Nucleos!$B$2:$G$199,5,0),"Verificar com o setor")</f>
        <v>SANTOS</v>
      </c>
      <c r="F399" s="10" t="s">
        <v>16</v>
      </c>
    </row>
    <row r="400" spans="1:6">
      <c r="A400" s="10" t="s">
        <v>1253</v>
      </c>
      <c r="B400" s="12" t="s">
        <v>1254</v>
      </c>
      <c r="C400" s="10" t="s">
        <v>271</v>
      </c>
      <c r="D400" s="10" t="s">
        <v>341</v>
      </c>
      <c r="E400" s="10" t="str">
        <f>IFERROR(VLOOKUP(Tabela55[[#This Row],[Abrev]],Nucleos!$B$2:$G$199,5,0),"Verificar com o setor")</f>
        <v>SANTOS</v>
      </c>
      <c r="F400" s="10" t="s">
        <v>16</v>
      </c>
    </row>
    <row r="401" spans="1:6">
      <c r="A401" s="10" t="s">
        <v>1255</v>
      </c>
      <c r="B401" s="12" t="s">
        <v>1256</v>
      </c>
      <c r="C401" s="10" t="s">
        <v>271</v>
      </c>
      <c r="D401" s="10" t="s">
        <v>341</v>
      </c>
      <c r="E401" s="10" t="str">
        <f>IFERROR(VLOOKUP(Tabela55[[#This Row],[Abrev]],Nucleos!$B$2:$G$199,5,0),"Verificar com o setor")</f>
        <v>SANTOS</v>
      </c>
      <c r="F401" s="10" t="s">
        <v>16</v>
      </c>
    </row>
    <row r="402" spans="1:6">
      <c r="A402" s="11" t="s">
        <v>1257</v>
      </c>
      <c r="B402" s="12" t="s">
        <v>385</v>
      </c>
      <c r="C402" s="10" t="s">
        <v>386</v>
      </c>
      <c r="D402" s="10" t="s">
        <v>385</v>
      </c>
      <c r="E402" s="10" t="s">
        <v>204</v>
      </c>
      <c r="F402" s="10" t="s">
        <v>16</v>
      </c>
    </row>
    <row r="403" spans="1:6">
      <c r="A403" s="11" t="s">
        <v>1258</v>
      </c>
      <c r="B403" s="12" t="s">
        <v>1259</v>
      </c>
      <c r="C403" s="10" t="s">
        <v>386</v>
      </c>
      <c r="D403" s="10" t="s">
        <v>385</v>
      </c>
      <c r="E403" s="10" t="s">
        <v>204</v>
      </c>
      <c r="F403" s="10" t="s">
        <v>16</v>
      </c>
    </row>
    <row r="404" spans="1:6">
      <c r="A404" s="10" t="s">
        <v>1260</v>
      </c>
      <c r="B404" s="12" t="s">
        <v>1261</v>
      </c>
      <c r="C404" s="10" t="s">
        <v>386</v>
      </c>
      <c r="D404" s="10" t="s">
        <v>385</v>
      </c>
      <c r="E404" s="10" t="s">
        <v>204</v>
      </c>
      <c r="F404" s="10" t="s">
        <v>16</v>
      </c>
    </row>
    <row r="405" spans="1:6">
      <c r="A405" s="10" t="s">
        <v>1262</v>
      </c>
      <c r="B405" s="12" t="s">
        <v>1263</v>
      </c>
      <c r="C405" s="10" t="s">
        <v>386</v>
      </c>
      <c r="D405" s="10" t="s">
        <v>385</v>
      </c>
      <c r="E405" s="10" t="s">
        <v>204</v>
      </c>
      <c r="F405" s="10" t="s">
        <v>16</v>
      </c>
    </row>
    <row r="406" spans="1:6">
      <c r="A406" s="10" t="s">
        <v>1264</v>
      </c>
      <c r="B406" s="12" t="s">
        <v>1265</v>
      </c>
      <c r="C406" s="10" t="s">
        <v>120</v>
      </c>
      <c r="D406" s="10" t="s">
        <v>222</v>
      </c>
      <c r="E406" s="10" t="str">
        <f>IFERROR(VLOOKUP(Tabela55[[#This Row],[Abrev]],Nucleos!$B$2:$G$199,5,0),"Verificar com o setor")</f>
        <v>JOINVILLE</v>
      </c>
      <c r="F406" s="10" t="s">
        <v>53</v>
      </c>
    </row>
    <row r="407" spans="1:6">
      <c r="A407" s="10" t="s">
        <v>1266</v>
      </c>
      <c r="B407" s="12" t="s">
        <v>1267</v>
      </c>
      <c r="C407" s="10" t="s">
        <v>176</v>
      </c>
      <c r="D407" s="10" t="s">
        <v>175</v>
      </c>
      <c r="E407" s="10" t="str">
        <f>IFERROR(VLOOKUP(Tabela55[[#This Row],[Abrev]],Nucleos!$B$2:$G$199,5,0),"Verificar com o setor")</f>
        <v>FLORIANOPOLIS</v>
      </c>
      <c r="F407" s="10" t="s">
        <v>53</v>
      </c>
    </row>
    <row r="408" spans="1:6">
      <c r="A408" s="10" t="s">
        <v>1268</v>
      </c>
      <c r="B408" s="12" t="s">
        <v>1269</v>
      </c>
      <c r="C408" s="10" t="s">
        <v>120</v>
      </c>
      <c r="D408" s="10" t="s">
        <v>222</v>
      </c>
      <c r="E408" s="10" t="str">
        <f>IFERROR(VLOOKUP(Tabela55[[#This Row],[Abrev]],Nucleos!$B$2:$G$199,5,0),"Verificar com o setor")</f>
        <v>JOINVILLE</v>
      </c>
      <c r="F408" s="10" t="s">
        <v>53</v>
      </c>
    </row>
    <row r="409" spans="1:6">
      <c r="A409" s="10" t="s">
        <v>1270</v>
      </c>
      <c r="B409" s="12" t="s">
        <v>1271</v>
      </c>
      <c r="C409" s="10" t="s">
        <v>275</v>
      </c>
      <c r="D409" s="10" t="s">
        <v>274</v>
      </c>
      <c r="E409" s="10" t="str">
        <f>IFERROR(VLOOKUP(Tabela55[[#This Row],[Abrev]],Nucleos!$B$2:$G$199,5,0),"Verificar com o setor")</f>
        <v>FLORIANOPOLIS</v>
      </c>
      <c r="F409" s="10" t="s">
        <v>53</v>
      </c>
    </row>
    <row r="410" spans="1:6">
      <c r="A410" s="10" t="s">
        <v>1272</v>
      </c>
      <c r="B410" s="12" t="s">
        <v>1273</v>
      </c>
      <c r="C410" s="10" t="s">
        <v>120</v>
      </c>
      <c r="D410" s="10" t="s">
        <v>222</v>
      </c>
      <c r="E410" s="10" t="str">
        <f>IFERROR(VLOOKUP(Tabela55[[#This Row],[Abrev]],Nucleos!$B$2:$G$199,5,0),"Verificar com o setor")</f>
        <v>JOINVILLE</v>
      </c>
      <c r="F410" s="10" t="s">
        <v>53</v>
      </c>
    </row>
    <row r="411" spans="1:6">
      <c r="A411" s="10" t="s">
        <v>1274</v>
      </c>
      <c r="B411" s="12" t="s">
        <v>1275</v>
      </c>
      <c r="C411" s="10" t="s">
        <v>120</v>
      </c>
      <c r="D411" s="10" t="s">
        <v>222</v>
      </c>
      <c r="E411" s="10" t="str">
        <f>IFERROR(VLOOKUP(Tabela55[[#This Row],[Abrev]],Nucleos!$B$2:$G$199,5,0),"Verificar com o setor")</f>
        <v>JOINVILLE</v>
      </c>
      <c r="F411" s="10" t="s">
        <v>53</v>
      </c>
    </row>
    <row r="412" spans="1:6">
      <c r="A412" s="10" t="s">
        <v>1276</v>
      </c>
      <c r="B412" s="12" t="s">
        <v>1277</v>
      </c>
      <c r="C412" s="10" t="s">
        <v>71</v>
      </c>
      <c r="D412" s="10" t="s">
        <v>155</v>
      </c>
      <c r="E412" s="10" t="str">
        <f>IFERROR(VLOOKUP(Tabela55[[#This Row],[Abrev]],Nucleos!$B$2:$G$199,5,0),"Verificar com o setor")</f>
        <v>FLORIANOPOLIS</v>
      </c>
      <c r="F412" s="10" t="s">
        <v>53</v>
      </c>
    </row>
    <row r="413" spans="1:6">
      <c r="A413" s="10" t="s">
        <v>1278</v>
      </c>
      <c r="B413" s="12" t="s">
        <v>1279</v>
      </c>
      <c r="C413" s="10" t="s">
        <v>120</v>
      </c>
      <c r="D413" s="10" t="s">
        <v>222</v>
      </c>
      <c r="E413" s="10" t="str">
        <f>IFERROR(VLOOKUP(Tabela55[[#This Row],[Abrev]],Nucleos!$B$2:$G$199,5,0),"Verificar com o setor")</f>
        <v>JOINVILLE</v>
      </c>
      <c r="F413" s="10" t="s">
        <v>53</v>
      </c>
    </row>
    <row r="414" spans="1:6">
      <c r="A414" s="10" t="s">
        <v>1280</v>
      </c>
      <c r="B414" s="12" t="s">
        <v>175</v>
      </c>
      <c r="C414" s="10" t="s">
        <v>176</v>
      </c>
      <c r="D414" s="10" t="s">
        <v>175</v>
      </c>
      <c r="E414" s="10" t="str">
        <f>IFERROR(VLOOKUP(Tabela55[[#This Row],[Abrev]],Nucleos!$B$2:$G$199,5,0),"Verificar com o setor")</f>
        <v>FLORIANOPOLIS</v>
      </c>
      <c r="F414" s="10" t="s">
        <v>53</v>
      </c>
    </row>
    <row r="415" spans="1:6">
      <c r="A415" s="10" t="s">
        <v>1281</v>
      </c>
      <c r="B415" s="12" t="s">
        <v>1282</v>
      </c>
      <c r="C415" s="10" t="s">
        <v>174</v>
      </c>
      <c r="D415" s="10" t="s">
        <v>173</v>
      </c>
      <c r="E415" s="10" t="str">
        <f>IFERROR(VLOOKUP(Tabela55[[#This Row],[Abrev]],Nucleos!$B$2:$G$199,5,0),"Verificar com o setor")</f>
        <v>CURITIBA</v>
      </c>
      <c r="F415" s="10" t="s">
        <v>53</v>
      </c>
    </row>
    <row r="416" spans="1:6">
      <c r="A416" s="10" t="s">
        <v>1283</v>
      </c>
      <c r="B416" s="12" t="s">
        <v>1284</v>
      </c>
      <c r="C416" s="10" t="s">
        <v>1084</v>
      </c>
      <c r="D416" s="10" t="s">
        <v>310</v>
      </c>
      <c r="E416" s="10" t="s">
        <v>271</v>
      </c>
      <c r="F416" s="10" t="s">
        <v>16</v>
      </c>
    </row>
    <row r="417" spans="1:6">
      <c r="A417" s="10" t="s">
        <v>1285</v>
      </c>
      <c r="B417" s="12" t="s">
        <v>1286</v>
      </c>
      <c r="C417" s="10" t="s">
        <v>52</v>
      </c>
      <c r="D417" s="10" t="s">
        <v>56</v>
      </c>
      <c r="E417" s="10" t="str">
        <f>IFERROR(VLOOKUP(Tabela55[[#This Row],[Abrev]],Nucleos!$B$2:$G$199,5,0),"Verificar com o setor")</f>
        <v>BLUMENAU</v>
      </c>
      <c r="F417" s="10" t="s">
        <v>53</v>
      </c>
    </row>
    <row r="418" spans="1:6">
      <c r="A418" s="10" t="s">
        <v>1287</v>
      </c>
      <c r="B418" s="12" t="s">
        <v>1288</v>
      </c>
      <c r="C418" s="10" t="s">
        <v>71</v>
      </c>
      <c r="D418" s="10" t="s">
        <v>155</v>
      </c>
      <c r="E418" s="10" t="str">
        <f>IFERROR(VLOOKUP(Tabela55[[#This Row],[Abrev]],Nucleos!$B$2:$G$199,5,0),"Verificar com o setor")</f>
        <v>FLORIANOPOLIS</v>
      </c>
      <c r="F418" s="10" t="s">
        <v>53</v>
      </c>
    </row>
    <row r="419" spans="1:6">
      <c r="A419" s="10" t="s">
        <v>1289</v>
      </c>
      <c r="B419" s="12" t="s">
        <v>1290</v>
      </c>
      <c r="C419" s="10" t="s">
        <v>113</v>
      </c>
      <c r="D419" s="10" t="s">
        <v>112</v>
      </c>
      <c r="E419" s="10" t="str">
        <f>IFERROR(VLOOKUP(Tabela55[[#This Row],[Abrev]],Nucleos!$B$2:$G$199,5,0),"Verificar com o setor")</f>
        <v>CURITIBA</v>
      </c>
      <c r="F419" s="10" t="s">
        <v>53</v>
      </c>
    </row>
    <row r="420" spans="1:6">
      <c r="A420" s="10" t="s">
        <v>1291</v>
      </c>
      <c r="B420" s="12" t="s">
        <v>1292</v>
      </c>
      <c r="C420" s="10" t="s">
        <v>71</v>
      </c>
      <c r="D420" s="10" t="s">
        <v>155</v>
      </c>
      <c r="E420" s="10" t="str">
        <f>IFERROR(VLOOKUP(Tabela55[[#This Row],[Abrev]],Nucleos!$B$2:$G$199,5,0),"Verificar com o setor")</f>
        <v>FLORIANOPOLIS</v>
      </c>
      <c r="F420" s="10" t="s">
        <v>53</v>
      </c>
    </row>
    <row r="421" spans="1:6">
      <c r="A421" s="10" t="s">
        <v>1293</v>
      </c>
      <c r="B421" s="12" t="s">
        <v>1294</v>
      </c>
      <c r="C421" s="10" t="s">
        <v>1084</v>
      </c>
      <c r="D421" s="10" t="s">
        <v>310</v>
      </c>
      <c r="E421" s="10" t="s">
        <v>49</v>
      </c>
      <c r="F421" s="10" t="s">
        <v>16</v>
      </c>
    </row>
    <row r="422" spans="1:6">
      <c r="A422" s="10" t="s">
        <v>1295</v>
      </c>
      <c r="B422" s="12" t="s">
        <v>1296</v>
      </c>
      <c r="C422" s="10" t="s">
        <v>71</v>
      </c>
      <c r="D422" s="10" t="s">
        <v>155</v>
      </c>
      <c r="E422" s="10" t="str">
        <f>IFERROR(VLOOKUP([1]!Tabela5[[#This Row],[Abrev]],[1]Nucleos!$B$2:$G$191,5,0),"Verificar com o setor")</f>
        <v>Verificar com o setor</v>
      </c>
      <c r="F422" s="10" t="s">
        <v>53</v>
      </c>
    </row>
    <row r="423" spans="1:6">
      <c r="A423" s="10" t="s">
        <v>1297</v>
      </c>
      <c r="B423" s="12" t="s">
        <v>1298</v>
      </c>
      <c r="C423" s="10" t="s">
        <v>1084</v>
      </c>
      <c r="D423" s="10" t="s">
        <v>310</v>
      </c>
      <c r="E423" s="10" t="s">
        <v>49</v>
      </c>
      <c r="F423" s="10" t="s">
        <v>16</v>
      </c>
    </row>
    <row r="424" spans="1:6">
      <c r="A424" s="10" t="s">
        <v>1299</v>
      </c>
      <c r="B424" s="12" t="s">
        <v>1300</v>
      </c>
      <c r="C424" s="10" t="s">
        <v>1084</v>
      </c>
      <c r="D424" s="10" t="s">
        <v>310</v>
      </c>
      <c r="E424" s="10" t="s">
        <v>271</v>
      </c>
      <c r="F424" s="10" t="s">
        <v>16</v>
      </c>
    </row>
    <row r="425" spans="1:6">
      <c r="A425" s="10" t="s">
        <v>1301</v>
      </c>
      <c r="B425" s="12" t="s">
        <v>1302</v>
      </c>
      <c r="C425" s="10" t="s">
        <v>1084</v>
      </c>
      <c r="D425" s="10" t="s">
        <v>310</v>
      </c>
      <c r="E425" s="10" t="s">
        <v>49</v>
      </c>
      <c r="F425" s="10" t="s">
        <v>16</v>
      </c>
    </row>
    <row r="426" spans="1:6">
      <c r="A426" s="10" t="s">
        <v>1303</v>
      </c>
      <c r="B426" s="12" t="s">
        <v>1304</v>
      </c>
      <c r="C426" s="10" t="s">
        <v>1084</v>
      </c>
      <c r="D426" s="10" t="s">
        <v>310</v>
      </c>
      <c r="E426" s="10" t="s">
        <v>49</v>
      </c>
      <c r="F426" s="10" t="s">
        <v>16</v>
      </c>
    </row>
    <row r="427" spans="1:6">
      <c r="A427" s="10" t="s">
        <v>1305</v>
      </c>
      <c r="B427" s="12" t="s">
        <v>1306</v>
      </c>
      <c r="C427" s="10" t="s">
        <v>232</v>
      </c>
      <c r="D427" s="10" t="s">
        <v>231</v>
      </c>
      <c r="E427" s="10" t="str">
        <f>IFERROR(VLOOKUP([1]!Tabela5[[#This Row],[Abrev]],[1]Nucleos!$B$2:$G$191,5,0),"Verificar com o setor")</f>
        <v>Verificar com o setor</v>
      </c>
      <c r="F427" s="10" t="s">
        <v>53</v>
      </c>
    </row>
    <row r="428" spans="1:6">
      <c r="A428" s="10" t="s">
        <v>1307</v>
      </c>
      <c r="B428" s="12" t="s">
        <v>1308</v>
      </c>
      <c r="C428" s="10" t="s">
        <v>1084</v>
      </c>
      <c r="D428" s="10" t="s">
        <v>310</v>
      </c>
      <c r="E428" s="10" t="s">
        <v>107</v>
      </c>
      <c r="F428" s="10" t="s">
        <v>16</v>
      </c>
    </row>
    <row r="429" spans="1:6">
      <c r="A429" s="10" t="s">
        <v>1309</v>
      </c>
      <c r="B429" s="12" t="s">
        <v>1310</v>
      </c>
      <c r="C429" s="10" t="s">
        <v>113</v>
      </c>
      <c r="D429" s="10" t="s">
        <v>112</v>
      </c>
      <c r="E429" s="10" t="str">
        <f>IFERROR(VLOOKUP([1]!Tabela5[[#This Row],[Abrev]],[1]Nucleos!$B$2:$G$191,5,0),"Verificar com o setor")</f>
        <v>Verificar com o setor</v>
      </c>
      <c r="F429" s="10" t="s">
        <v>53</v>
      </c>
    </row>
    <row r="430" spans="1:6">
      <c r="A430" s="10" t="s">
        <v>1311</v>
      </c>
      <c r="B430" s="12" t="s">
        <v>1312</v>
      </c>
      <c r="C430" s="10" t="s">
        <v>1084</v>
      </c>
      <c r="D430" s="10" t="s">
        <v>310</v>
      </c>
      <c r="E430" s="10" t="s">
        <v>107</v>
      </c>
      <c r="F430" s="10" t="s">
        <v>16</v>
      </c>
    </row>
    <row r="431" spans="1:6">
      <c r="A431" s="10" t="s">
        <v>1313</v>
      </c>
      <c r="B431" s="12" t="s">
        <v>124</v>
      </c>
      <c r="C431" s="10" t="s">
        <v>1084</v>
      </c>
      <c r="D431" s="10" t="s">
        <v>310</v>
      </c>
      <c r="E431" s="10" t="s">
        <v>107</v>
      </c>
      <c r="F431" s="10" t="s">
        <v>16</v>
      </c>
    </row>
    <row r="432" spans="1:6">
      <c r="A432" s="10" t="s">
        <v>1314</v>
      </c>
      <c r="B432" s="12" t="s">
        <v>1315</v>
      </c>
      <c r="C432" s="10" t="s">
        <v>1084</v>
      </c>
      <c r="D432" s="10" t="s">
        <v>310</v>
      </c>
      <c r="E432" s="10" t="s">
        <v>107</v>
      </c>
      <c r="F432" s="10" t="s">
        <v>16</v>
      </c>
    </row>
    <row r="433" spans="1:6">
      <c r="A433" s="10" t="s">
        <v>1316</v>
      </c>
      <c r="B433" s="12" t="s">
        <v>1317</v>
      </c>
      <c r="C433" s="10" t="s">
        <v>160</v>
      </c>
      <c r="D433" s="10" t="s">
        <v>160</v>
      </c>
      <c r="E433" s="10" t="str">
        <f>IFERROR(VLOOKUP([1]!Tabela5[[#This Row],[Abrev]],[1]Nucleos!$B$2:$G$191,5,0),"Verificar com o setor")</f>
        <v>Verificar com o setor</v>
      </c>
      <c r="F433" s="10" t="s">
        <v>53</v>
      </c>
    </row>
    <row r="434" spans="1:6">
      <c r="A434" s="10" t="s">
        <v>1318</v>
      </c>
      <c r="B434" s="12" t="s">
        <v>1319</v>
      </c>
      <c r="C434" s="10" t="s">
        <v>169</v>
      </c>
      <c r="D434" s="10" t="s">
        <v>310</v>
      </c>
      <c r="E434" s="10" t="s">
        <v>107</v>
      </c>
      <c r="F434" s="10" t="s">
        <v>16</v>
      </c>
    </row>
    <row r="435" spans="1:6">
      <c r="A435" s="10" t="s">
        <v>1320</v>
      </c>
      <c r="B435" s="12" t="s">
        <v>1321</v>
      </c>
      <c r="C435" s="10" t="s">
        <v>169</v>
      </c>
      <c r="D435" s="10" t="s">
        <v>310</v>
      </c>
      <c r="E435" s="10" t="s">
        <v>107</v>
      </c>
      <c r="F435" s="10" t="s">
        <v>16</v>
      </c>
    </row>
    <row r="436" spans="1:6">
      <c r="A436" s="10" t="s">
        <v>1322</v>
      </c>
      <c r="B436" s="12" t="s">
        <v>1323</v>
      </c>
      <c r="C436" s="10" t="s">
        <v>1324</v>
      </c>
      <c r="D436" s="10" t="s">
        <v>245</v>
      </c>
      <c r="E436" s="10" t="s">
        <v>1324</v>
      </c>
      <c r="F436" s="10" t="s">
        <v>35</v>
      </c>
    </row>
    <row r="437" spans="1:6">
      <c r="A437" s="10" t="s">
        <v>1325</v>
      </c>
      <c r="B437" s="12" t="s">
        <v>1326</v>
      </c>
      <c r="C437" s="10" t="s">
        <v>89</v>
      </c>
      <c r="D437" s="10" t="s">
        <v>35</v>
      </c>
      <c r="E437" s="10" t="s">
        <v>89</v>
      </c>
      <c r="F437" s="10" t="s">
        <v>35</v>
      </c>
    </row>
    <row r="438" spans="1:6">
      <c r="A438" s="10" t="s">
        <v>1327</v>
      </c>
      <c r="B438" s="12" t="s">
        <v>1328</v>
      </c>
      <c r="C438" s="10" t="s">
        <v>1329</v>
      </c>
      <c r="D438" s="10" t="s">
        <v>228</v>
      </c>
      <c r="E438" s="10" t="s">
        <v>89</v>
      </c>
      <c r="F438" s="10" t="s">
        <v>35</v>
      </c>
    </row>
    <row r="439" spans="1:6">
      <c r="A439" s="10" t="s">
        <v>1330</v>
      </c>
      <c r="B439" s="12" t="s">
        <v>1331</v>
      </c>
      <c r="C439" s="10" t="s">
        <v>65</v>
      </c>
      <c r="D439" s="10" t="s">
        <v>64</v>
      </c>
      <c r="E439" s="10" t="s">
        <v>65</v>
      </c>
      <c r="F439" s="10" t="s">
        <v>35</v>
      </c>
    </row>
    <row r="440" spans="1:6">
      <c r="A440" s="10" t="s">
        <v>1332</v>
      </c>
      <c r="B440" s="12" t="s">
        <v>1333</v>
      </c>
      <c r="C440" s="10" t="s">
        <v>1329</v>
      </c>
      <c r="D440" s="10" t="s">
        <v>228</v>
      </c>
      <c r="E440" s="10" t="s">
        <v>89</v>
      </c>
      <c r="F440" s="10" t="s">
        <v>35</v>
      </c>
    </row>
    <row r="441" spans="1:6">
      <c r="A441" s="10" t="s">
        <v>1334</v>
      </c>
      <c r="B441" s="12" t="s">
        <v>1335</v>
      </c>
      <c r="C441" s="10" t="s">
        <v>142</v>
      </c>
      <c r="D441" s="10" t="s">
        <v>141</v>
      </c>
      <c r="E441" s="10" t="s">
        <v>89</v>
      </c>
      <c r="F441" s="10" t="s">
        <v>35</v>
      </c>
    </row>
    <row r="442" spans="1:6">
      <c r="A442" s="10" t="s">
        <v>1336</v>
      </c>
      <c r="B442" s="12" t="s">
        <v>1337</v>
      </c>
      <c r="C442" s="10" t="s">
        <v>89</v>
      </c>
      <c r="D442" s="10" t="s">
        <v>35</v>
      </c>
      <c r="E442" s="10" t="s">
        <v>89</v>
      </c>
      <c r="F442" s="10" t="s">
        <v>35</v>
      </c>
    </row>
    <row r="443" spans="1:6">
      <c r="A443" s="10" t="s">
        <v>1338</v>
      </c>
      <c r="B443" s="12" t="s">
        <v>1339</v>
      </c>
      <c r="C443" s="10" t="s">
        <v>93</v>
      </c>
      <c r="D443" s="10" t="s">
        <v>241</v>
      </c>
      <c r="E443" s="10" t="s">
        <v>93</v>
      </c>
      <c r="F443" s="10" t="s">
        <v>35</v>
      </c>
    </row>
    <row r="444" spans="1:6">
      <c r="A444" s="10" t="s">
        <v>1340</v>
      </c>
      <c r="B444" s="12" t="s">
        <v>1341</v>
      </c>
      <c r="C444" s="10" t="s">
        <v>93</v>
      </c>
      <c r="D444" s="10" t="s">
        <v>241</v>
      </c>
      <c r="E444" s="10" t="s">
        <v>93</v>
      </c>
      <c r="F444" s="10" t="s">
        <v>35</v>
      </c>
    </row>
    <row r="445" spans="1:6">
      <c r="A445" s="10" t="s">
        <v>1342</v>
      </c>
      <c r="B445" s="12" t="s">
        <v>1343</v>
      </c>
      <c r="C445" s="10" t="s">
        <v>93</v>
      </c>
      <c r="D445" s="10" t="s">
        <v>241</v>
      </c>
      <c r="E445" s="10" t="s">
        <v>93</v>
      </c>
      <c r="F445" s="10" t="s">
        <v>35</v>
      </c>
    </row>
    <row r="446" spans="1:6">
      <c r="A446" s="10" t="s">
        <v>1344</v>
      </c>
      <c r="B446" s="12" t="s">
        <v>1345</v>
      </c>
      <c r="C446" s="10" t="s">
        <v>93</v>
      </c>
      <c r="D446" s="10" t="s">
        <v>241</v>
      </c>
      <c r="E446" s="10" t="s">
        <v>93</v>
      </c>
      <c r="F446" s="10" t="s">
        <v>35</v>
      </c>
    </row>
    <row r="447" spans="1:6">
      <c r="A447" s="10" t="s">
        <v>1346</v>
      </c>
      <c r="B447" s="12" t="s">
        <v>1347</v>
      </c>
      <c r="C447" s="10" t="s">
        <v>93</v>
      </c>
      <c r="D447" s="10" t="s">
        <v>241</v>
      </c>
      <c r="E447" s="10" t="s">
        <v>93</v>
      </c>
      <c r="F447" s="10" t="s">
        <v>35</v>
      </c>
    </row>
    <row r="448" spans="1:6">
      <c r="A448" s="10" t="s">
        <v>1348</v>
      </c>
      <c r="B448" s="12" t="s">
        <v>1349</v>
      </c>
      <c r="C448" s="10" t="s">
        <v>109</v>
      </c>
      <c r="D448" s="10" t="s">
        <v>108</v>
      </c>
      <c r="E448" s="10" t="s">
        <v>109</v>
      </c>
      <c r="F448" s="10" t="s">
        <v>35</v>
      </c>
    </row>
    <row r="449" spans="1:6">
      <c r="A449" s="10" t="s">
        <v>1350</v>
      </c>
      <c r="B449" s="12" t="s">
        <v>1351</v>
      </c>
      <c r="C449" s="10" t="s">
        <v>65</v>
      </c>
      <c r="D449" s="10" t="s">
        <v>64</v>
      </c>
      <c r="E449" s="10" t="s">
        <v>65</v>
      </c>
      <c r="F449" s="10" t="s">
        <v>35</v>
      </c>
    </row>
    <row r="450" spans="1:6">
      <c r="A450" s="10" t="s">
        <v>1352</v>
      </c>
      <c r="B450" s="12" t="s">
        <v>1353</v>
      </c>
      <c r="C450" s="10" t="s">
        <v>1354</v>
      </c>
      <c r="D450" s="10" t="s">
        <v>31</v>
      </c>
      <c r="E450" s="10" t="s">
        <v>1355</v>
      </c>
      <c r="F450" s="10" t="s">
        <v>35</v>
      </c>
    </row>
    <row r="451" spans="1:6">
      <c r="A451" s="10" t="s">
        <v>1356</v>
      </c>
      <c r="B451" s="12" t="s">
        <v>1357</v>
      </c>
      <c r="C451" s="10" t="s">
        <v>89</v>
      </c>
      <c r="D451" s="10" t="s">
        <v>35</v>
      </c>
      <c r="E451" s="10" t="s">
        <v>89</v>
      </c>
      <c r="F451" s="10" t="s">
        <v>35</v>
      </c>
    </row>
    <row r="452" spans="1:6">
      <c r="A452" s="10" t="s">
        <v>1358</v>
      </c>
      <c r="B452" s="12" t="s">
        <v>1359</v>
      </c>
      <c r="C452" s="10" t="s">
        <v>1354</v>
      </c>
      <c r="D452" s="10" t="s">
        <v>31</v>
      </c>
      <c r="E452" s="10" t="s">
        <v>1355</v>
      </c>
      <c r="F452" s="10" t="s">
        <v>35</v>
      </c>
    </row>
    <row r="453" spans="1:6">
      <c r="A453" s="10" t="s">
        <v>1360</v>
      </c>
      <c r="B453" s="12" t="s">
        <v>1361</v>
      </c>
      <c r="C453" s="10" t="s">
        <v>89</v>
      </c>
      <c r="D453" s="10" t="s">
        <v>35</v>
      </c>
      <c r="E453" s="10" t="s">
        <v>89</v>
      </c>
      <c r="F453" s="10" t="s">
        <v>35</v>
      </c>
    </row>
    <row r="454" spans="1:6">
      <c r="A454" s="10" t="s">
        <v>1362</v>
      </c>
      <c r="B454" s="12" t="s">
        <v>1363</v>
      </c>
      <c r="C454" s="10" t="s">
        <v>93</v>
      </c>
      <c r="D454" s="10" t="s">
        <v>241</v>
      </c>
      <c r="E454" s="10" t="s">
        <v>93</v>
      </c>
      <c r="F454" s="10" t="s">
        <v>35</v>
      </c>
    </row>
    <row r="455" spans="1:6">
      <c r="A455" s="10" t="s">
        <v>1364</v>
      </c>
      <c r="B455" s="12" t="s">
        <v>1365</v>
      </c>
      <c r="C455" s="10" t="s">
        <v>187</v>
      </c>
      <c r="D455" s="10" t="s">
        <v>186</v>
      </c>
      <c r="E455" s="10" t="s">
        <v>187</v>
      </c>
      <c r="F455" s="10" t="s">
        <v>35</v>
      </c>
    </row>
    <row r="456" spans="1:6">
      <c r="A456" s="10" t="s">
        <v>1366</v>
      </c>
      <c r="B456" s="12" t="s">
        <v>1367</v>
      </c>
      <c r="C456" s="10" t="s">
        <v>89</v>
      </c>
      <c r="D456" s="10" t="s">
        <v>35</v>
      </c>
      <c r="E456" s="10" t="s">
        <v>89</v>
      </c>
      <c r="F456" s="10" t="s">
        <v>35</v>
      </c>
    </row>
    <row r="457" spans="1:6">
      <c r="A457" s="10" t="s">
        <v>1368</v>
      </c>
      <c r="B457" s="12" t="s">
        <v>1369</v>
      </c>
      <c r="C457" s="10" t="s">
        <v>109</v>
      </c>
      <c r="D457" s="10" t="s">
        <v>108</v>
      </c>
      <c r="E457" s="10" t="s">
        <v>109</v>
      </c>
      <c r="F457" s="10" t="s">
        <v>35</v>
      </c>
    </row>
    <row r="458" spans="1:6">
      <c r="A458" s="10" t="s">
        <v>1370</v>
      </c>
      <c r="B458" s="12" t="s">
        <v>1371</v>
      </c>
      <c r="C458" s="10" t="s">
        <v>89</v>
      </c>
      <c r="D458" s="10" t="s">
        <v>35</v>
      </c>
      <c r="E458" s="10" t="s">
        <v>89</v>
      </c>
      <c r="F458" s="10" t="s">
        <v>35</v>
      </c>
    </row>
    <row r="459" spans="1:6">
      <c r="A459" s="10" t="s">
        <v>1372</v>
      </c>
      <c r="B459" s="12" t="s">
        <v>1373</v>
      </c>
      <c r="C459" s="10" t="s">
        <v>89</v>
      </c>
      <c r="D459" s="10" t="s">
        <v>35</v>
      </c>
      <c r="E459" s="10" t="s">
        <v>89</v>
      </c>
      <c r="F459" s="10" t="s">
        <v>35</v>
      </c>
    </row>
    <row r="460" spans="1:6">
      <c r="A460" s="10" t="s">
        <v>1374</v>
      </c>
      <c r="B460" s="12" t="s">
        <v>1375</v>
      </c>
      <c r="C460" s="10" t="s">
        <v>89</v>
      </c>
      <c r="D460" s="10" t="s">
        <v>35</v>
      </c>
      <c r="E460" s="10" t="s">
        <v>89</v>
      </c>
      <c r="F460" s="10" t="s">
        <v>35</v>
      </c>
    </row>
    <row r="461" spans="1:6">
      <c r="A461" s="10" t="s">
        <v>1376</v>
      </c>
      <c r="B461" s="12" t="s">
        <v>1377</v>
      </c>
      <c r="C461" s="10" t="s">
        <v>89</v>
      </c>
      <c r="D461" s="10" t="s">
        <v>35</v>
      </c>
      <c r="E461" s="10" t="s">
        <v>89</v>
      </c>
      <c r="F461" s="10" t="s">
        <v>35</v>
      </c>
    </row>
    <row r="462" spans="1:6">
      <c r="A462" s="10" t="s">
        <v>1378</v>
      </c>
      <c r="B462" s="12" t="s">
        <v>1379</v>
      </c>
      <c r="C462" s="10" t="s">
        <v>89</v>
      </c>
      <c r="D462" s="10" t="s">
        <v>35</v>
      </c>
      <c r="E462" s="10" t="s">
        <v>89</v>
      </c>
      <c r="F462" s="10" t="s">
        <v>35</v>
      </c>
    </row>
    <row r="463" spans="1:6">
      <c r="A463" s="10" t="s">
        <v>1380</v>
      </c>
      <c r="B463" s="12" t="s">
        <v>1381</v>
      </c>
      <c r="C463" s="10" t="s">
        <v>89</v>
      </c>
      <c r="D463" s="10" t="s">
        <v>35</v>
      </c>
      <c r="E463" s="10" t="s">
        <v>89</v>
      </c>
      <c r="F463" s="10" t="s">
        <v>35</v>
      </c>
    </row>
    <row r="464" spans="1:6">
      <c r="A464" s="10" t="s">
        <v>1382</v>
      </c>
      <c r="B464" s="12" t="s">
        <v>1383</v>
      </c>
      <c r="C464" s="10" t="s">
        <v>187</v>
      </c>
      <c r="D464" s="10" t="s">
        <v>186</v>
      </c>
      <c r="E464" s="10" t="s">
        <v>187</v>
      </c>
      <c r="F464" s="10" t="s">
        <v>35</v>
      </c>
    </row>
    <row r="465" spans="1:6">
      <c r="A465" s="10" t="s">
        <v>1384</v>
      </c>
      <c r="B465" s="12" t="s">
        <v>1385</v>
      </c>
      <c r="C465" s="10" t="s">
        <v>89</v>
      </c>
      <c r="D465" s="10" t="s">
        <v>35</v>
      </c>
      <c r="E465" s="10" t="s">
        <v>89</v>
      </c>
      <c r="F465" s="10" t="s">
        <v>35</v>
      </c>
    </row>
    <row r="466" spans="1:6">
      <c r="A466" s="10" t="s">
        <v>1386</v>
      </c>
      <c r="B466" s="12" t="s">
        <v>1387</v>
      </c>
      <c r="C466" s="10" t="s">
        <v>93</v>
      </c>
      <c r="D466" s="10" t="s">
        <v>241</v>
      </c>
      <c r="E466" s="10" t="s">
        <v>93</v>
      </c>
      <c r="F466" s="10" t="s">
        <v>35</v>
      </c>
    </row>
    <row r="467" spans="1:6">
      <c r="A467" s="10" t="s">
        <v>1388</v>
      </c>
      <c r="B467" s="12" t="s">
        <v>1389</v>
      </c>
      <c r="C467" s="10" t="s">
        <v>89</v>
      </c>
      <c r="D467" s="10" t="s">
        <v>35</v>
      </c>
      <c r="E467" s="10" t="s">
        <v>89</v>
      </c>
      <c r="F467" s="10" t="s">
        <v>35</v>
      </c>
    </row>
    <row r="468" spans="1:6">
      <c r="A468" s="10" t="s">
        <v>1390</v>
      </c>
      <c r="B468" s="12" t="s">
        <v>1391</v>
      </c>
      <c r="C468" s="10" t="s">
        <v>89</v>
      </c>
      <c r="D468" s="10" t="s">
        <v>35</v>
      </c>
      <c r="E468" s="10" t="s">
        <v>89</v>
      </c>
      <c r="F468" s="10" t="s">
        <v>35</v>
      </c>
    </row>
    <row r="469" spans="1:6">
      <c r="A469" s="10" t="s">
        <v>1392</v>
      </c>
      <c r="B469" s="12" t="s">
        <v>1393</v>
      </c>
      <c r="C469" s="10" t="s">
        <v>89</v>
      </c>
      <c r="D469" s="10" t="s">
        <v>35</v>
      </c>
      <c r="E469" s="10" t="s">
        <v>89</v>
      </c>
      <c r="F469" s="10" t="s">
        <v>35</v>
      </c>
    </row>
    <row r="470" spans="1:6">
      <c r="A470" s="10" t="s">
        <v>1394</v>
      </c>
      <c r="B470" s="12" t="s">
        <v>1395</v>
      </c>
      <c r="C470" s="10" t="s">
        <v>89</v>
      </c>
      <c r="D470" s="10" t="s">
        <v>35</v>
      </c>
      <c r="E470" s="10" t="s">
        <v>89</v>
      </c>
      <c r="F470" s="10" t="s">
        <v>35</v>
      </c>
    </row>
    <row r="471" spans="1:6">
      <c r="A471" s="10" t="s">
        <v>1396</v>
      </c>
      <c r="B471" s="12" t="s">
        <v>1397</v>
      </c>
      <c r="C471" s="10" t="s">
        <v>1324</v>
      </c>
      <c r="D471" s="10" t="s">
        <v>245</v>
      </c>
      <c r="E471" s="10" t="s">
        <v>1324</v>
      </c>
      <c r="F471" s="10" t="s">
        <v>35</v>
      </c>
    </row>
    <row r="472" spans="1:6">
      <c r="A472" s="10" t="s">
        <v>1398</v>
      </c>
      <c r="B472" s="12" t="s">
        <v>1399</v>
      </c>
      <c r="C472" s="10" t="s">
        <v>169</v>
      </c>
      <c r="D472" s="10" t="s">
        <v>310</v>
      </c>
      <c r="E472" s="10" t="s">
        <v>107</v>
      </c>
      <c r="F472" s="10" t="s">
        <v>16</v>
      </c>
    </row>
    <row r="473" spans="1:6">
      <c r="A473" s="10" t="s">
        <v>1400</v>
      </c>
      <c r="B473" s="12" t="s">
        <v>1401</v>
      </c>
      <c r="C473" s="10" t="s">
        <v>89</v>
      </c>
      <c r="D473" s="10" t="s">
        <v>35</v>
      </c>
      <c r="E473" s="10" t="s">
        <v>89</v>
      </c>
      <c r="F473" s="10" t="s">
        <v>35</v>
      </c>
    </row>
    <row r="474" spans="1:6">
      <c r="A474" s="10" t="s">
        <v>1402</v>
      </c>
      <c r="B474" s="12" t="s">
        <v>1403</v>
      </c>
      <c r="C474" s="10" t="s">
        <v>89</v>
      </c>
      <c r="D474" s="10" t="s">
        <v>35</v>
      </c>
      <c r="E474" s="10" t="s">
        <v>89</v>
      </c>
      <c r="F474" s="10" t="s">
        <v>35</v>
      </c>
    </row>
    <row r="475" spans="1:6">
      <c r="A475" s="10" t="s">
        <v>1404</v>
      </c>
      <c r="B475" s="12" t="s">
        <v>1405</v>
      </c>
      <c r="C475" s="10" t="s">
        <v>187</v>
      </c>
      <c r="D475" s="10" t="s">
        <v>186</v>
      </c>
      <c r="E475" s="10" t="s">
        <v>187</v>
      </c>
      <c r="F475" s="10" t="s">
        <v>35</v>
      </c>
    </row>
    <row r="476" spans="1:6">
      <c r="A476" s="19" t="s">
        <v>1406</v>
      </c>
      <c r="B476" s="20" t="s">
        <v>1407</v>
      </c>
      <c r="C476" s="10" t="s">
        <v>1354</v>
      </c>
      <c r="D476" s="19" t="s">
        <v>31</v>
      </c>
      <c r="E476" s="10" t="str">
        <f>IFERROR(VLOOKUP(Tabela55[[#This Row],[Abrev]],Nucleos!$B$2:$G$199,5,0),"Verificar com o setor")</f>
        <v>MARUI</v>
      </c>
      <c r="F476" s="10" t="s">
        <v>35</v>
      </c>
    </row>
    <row r="477" spans="1:6">
      <c r="A477" s="19" t="s">
        <v>1408</v>
      </c>
      <c r="B477" s="20" t="s">
        <v>1409</v>
      </c>
      <c r="C477" s="10" t="s">
        <v>1084</v>
      </c>
      <c r="D477" s="26" t="s">
        <v>310</v>
      </c>
      <c r="E477" s="10" t="s">
        <v>49</v>
      </c>
      <c r="F477" s="10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selection activeCell="D17" sqref="D17"/>
    </sheetView>
  </sheetViews>
  <sheetFormatPr defaultColWidth="9" defaultRowHeight="14.5"/>
  <cols>
    <col min="1" max="1" width="37.81640625" customWidth="1"/>
    <col min="7" max="7" width="53.1796875" customWidth="1"/>
  </cols>
  <sheetData>
    <row r="1" spans="1:8">
      <c r="A1" s="2" t="s">
        <v>1410</v>
      </c>
      <c r="B1" s="2" t="s">
        <v>1411</v>
      </c>
      <c r="C1" s="2" t="s">
        <v>226</v>
      </c>
      <c r="D1" s="2" t="s">
        <v>1412</v>
      </c>
      <c r="E1" s="3" t="s">
        <v>1413</v>
      </c>
      <c r="G1" s="4"/>
      <c r="H1" s="4"/>
    </row>
    <row r="2" spans="1:8">
      <c r="A2" s="5" t="s">
        <v>1414</v>
      </c>
      <c r="B2" s="5" t="s">
        <v>1412</v>
      </c>
      <c r="C2" s="5" t="s">
        <v>112</v>
      </c>
      <c r="D2" s="5" t="s">
        <v>1412</v>
      </c>
      <c r="E2" s="6" t="s">
        <v>1413</v>
      </c>
      <c r="G2" s="4"/>
      <c r="H2" s="4"/>
    </row>
    <row r="3" spans="1:8">
      <c r="A3" s="2" t="s">
        <v>1285</v>
      </c>
      <c r="B3" s="2" t="s">
        <v>1415</v>
      </c>
      <c r="C3" s="2" t="s">
        <v>56</v>
      </c>
      <c r="D3" s="2" t="s">
        <v>1415</v>
      </c>
      <c r="E3" s="3" t="s">
        <v>1413</v>
      </c>
      <c r="G3" s="4"/>
      <c r="H3" s="4"/>
    </row>
    <row r="4" spans="1:8">
      <c r="A4" s="5" t="s">
        <v>1416</v>
      </c>
      <c r="B4" s="5" t="s">
        <v>1417</v>
      </c>
      <c r="C4" s="5" t="s">
        <v>173</v>
      </c>
      <c r="D4" s="5" t="s">
        <v>1412</v>
      </c>
      <c r="E4" s="6" t="s">
        <v>1413</v>
      </c>
      <c r="G4" s="4"/>
      <c r="H4" s="4"/>
    </row>
    <row r="5" spans="1:8">
      <c r="A5" s="2" t="s">
        <v>1418</v>
      </c>
      <c r="B5" s="2" t="s">
        <v>1415</v>
      </c>
      <c r="C5" s="2" t="s">
        <v>523</v>
      </c>
      <c r="D5" s="2" t="s">
        <v>1415</v>
      </c>
      <c r="E5" s="3" t="s">
        <v>1413</v>
      </c>
      <c r="G5" s="4"/>
      <c r="H5" s="4"/>
    </row>
    <row r="6" spans="1:8">
      <c r="A6" s="5" t="s">
        <v>1419</v>
      </c>
      <c r="B6" s="5" t="s">
        <v>1412</v>
      </c>
      <c r="C6" s="5" t="s">
        <v>112</v>
      </c>
      <c r="D6" s="5" t="s">
        <v>1412</v>
      </c>
      <c r="E6" s="6" t="s">
        <v>1413</v>
      </c>
      <c r="G6" s="4"/>
      <c r="H6" s="4"/>
    </row>
    <row r="7" spans="1:8">
      <c r="A7" s="2" t="s">
        <v>1420</v>
      </c>
      <c r="B7" s="2" t="s">
        <v>1421</v>
      </c>
      <c r="C7" s="2" t="s">
        <v>16</v>
      </c>
      <c r="D7" s="2" t="s">
        <v>1421</v>
      </c>
      <c r="E7" s="3" t="s">
        <v>1413</v>
      </c>
      <c r="G7" s="4"/>
      <c r="H7" s="4"/>
    </row>
    <row r="8" spans="1:8">
      <c r="A8" s="5" t="s">
        <v>729</v>
      </c>
      <c r="B8" s="5" t="s">
        <v>1422</v>
      </c>
      <c r="C8" s="5" t="s">
        <v>730</v>
      </c>
      <c r="D8" s="5" t="s">
        <v>1422</v>
      </c>
      <c r="E8" s="6" t="s">
        <v>1413</v>
      </c>
      <c r="G8" s="4"/>
      <c r="H8" s="4"/>
    </row>
    <row r="9" spans="1:8">
      <c r="A9" s="2" t="s">
        <v>1423</v>
      </c>
      <c r="B9" s="2" t="s">
        <v>1421</v>
      </c>
      <c r="C9" s="2" t="s">
        <v>16</v>
      </c>
      <c r="D9" s="2" t="s">
        <v>1421</v>
      </c>
      <c r="E9" s="3" t="s">
        <v>1413</v>
      </c>
      <c r="G9" s="4"/>
      <c r="H9" s="4"/>
    </row>
    <row r="10" spans="1:8">
      <c r="A10" s="5" t="s">
        <v>1424</v>
      </c>
      <c r="B10" s="5" t="s">
        <v>1412</v>
      </c>
      <c r="C10" s="5" t="s">
        <v>112</v>
      </c>
      <c r="D10" s="5" t="s">
        <v>1412</v>
      </c>
      <c r="E10" s="6" t="s">
        <v>1413</v>
      </c>
      <c r="G10" s="4"/>
      <c r="H10" s="4"/>
    </row>
    <row r="11" spans="1:8">
      <c r="A11" s="7" t="s">
        <v>1425</v>
      </c>
      <c r="B11" s="7" t="s">
        <v>1415</v>
      </c>
      <c r="C11" s="7" t="s">
        <v>56</v>
      </c>
      <c r="D11" s="7" t="s">
        <v>1415</v>
      </c>
      <c r="E11" s="8" t="s">
        <v>1413</v>
      </c>
      <c r="G11" s="4"/>
      <c r="H11" s="4"/>
    </row>
    <row r="12" spans="1:8">
      <c r="G12" s="4"/>
      <c r="H12" s="4"/>
    </row>
    <row r="13" spans="1:8">
      <c r="G13" s="4"/>
      <c r="H13" s="4"/>
    </row>
    <row r="14" spans="1:8">
      <c r="G14" s="4"/>
      <c r="H14" s="4"/>
    </row>
    <row r="15" spans="1:8">
      <c r="G15" s="4"/>
      <c r="H15" s="4"/>
    </row>
    <row r="16" spans="1:8">
      <c r="G16" s="4"/>
      <c r="H16" s="4"/>
    </row>
    <row r="17" spans="7:8">
      <c r="G17" s="4"/>
      <c r="H17" s="4"/>
    </row>
    <row r="18" spans="7:8">
      <c r="G18" s="4"/>
      <c r="H18" s="4"/>
    </row>
    <row r="19" spans="7:8">
      <c r="G19" s="4"/>
      <c r="H19" s="4"/>
    </row>
    <row r="20" spans="7:8">
      <c r="G20" s="4"/>
      <c r="H20" s="4"/>
    </row>
    <row r="21" spans="7:8">
      <c r="G21" s="4"/>
      <c r="H21" s="4"/>
    </row>
    <row r="22" spans="7:8">
      <c r="G22" s="4"/>
      <c r="H22" s="4"/>
    </row>
    <row r="23" spans="7:8">
      <c r="G23" s="4"/>
      <c r="H23" s="4"/>
    </row>
    <row r="24" spans="7:8">
      <c r="G24" s="4"/>
      <c r="H24" s="4"/>
    </row>
    <row r="25" spans="7:8">
      <c r="G25" s="4"/>
      <c r="H25" s="4"/>
    </row>
    <row r="26" spans="7:8">
      <c r="G26" s="4"/>
      <c r="H26" s="4"/>
    </row>
    <row r="27" spans="7:8">
      <c r="G27" s="4"/>
      <c r="H27" s="4"/>
    </row>
    <row r="28" spans="7:8">
      <c r="G28" s="4"/>
      <c r="H28" s="4"/>
    </row>
    <row r="29" spans="7:8">
      <c r="G29" s="4"/>
      <c r="H29" s="4"/>
    </row>
    <row r="30" spans="7:8">
      <c r="G30" s="4"/>
      <c r="H30" s="4"/>
    </row>
    <row r="31" spans="7:8">
      <c r="G31" s="4"/>
      <c r="H31" s="4"/>
    </row>
    <row r="32" spans="7:8">
      <c r="G32" s="4"/>
      <c r="H32" s="4"/>
    </row>
    <row r="33" spans="7:8">
      <c r="G33" s="4"/>
      <c r="H33" s="4"/>
    </row>
    <row r="34" spans="7:8">
      <c r="G34" s="9"/>
      <c r="H34" s="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125"/>
  <sheetViews>
    <sheetView workbookViewId="0">
      <selection activeCell="A16" sqref="A16"/>
    </sheetView>
  </sheetViews>
  <sheetFormatPr defaultColWidth="0" defaultRowHeight="14.5"/>
  <cols>
    <col min="1" max="1" width="34.81640625" customWidth="1"/>
    <col min="2" max="3" width="8.81640625" customWidth="1"/>
    <col min="4" max="16383" width="8.81640625" hidden="1"/>
    <col min="16384" max="16384" width="9.6328125" hidden="1"/>
  </cols>
  <sheetData>
    <row r="1" spans="1:2">
      <c r="A1" s="1" t="s">
        <v>1426</v>
      </c>
      <c r="B1" s="1" t="s">
        <v>498</v>
      </c>
    </row>
    <row r="2" spans="1:2">
      <c r="A2" s="1" t="s">
        <v>1427</v>
      </c>
      <c r="B2" t="s">
        <v>931</v>
      </c>
    </row>
    <row r="3" spans="1:2">
      <c r="A3" s="1" t="s">
        <v>1428</v>
      </c>
      <c r="B3" t="s">
        <v>931</v>
      </c>
    </row>
    <row r="4" spans="1:2">
      <c r="A4" s="1" t="s">
        <v>1429</v>
      </c>
      <c r="B4" t="s">
        <v>1079</v>
      </c>
    </row>
    <row r="5" spans="1:2">
      <c r="A5" s="1" t="s">
        <v>1430</v>
      </c>
      <c r="B5" t="s">
        <v>874</v>
      </c>
    </row>
    <row r="6" spans="1:2">
      <c r="A6" s="1" t="s">
        <v>1431</v>
      </c>
      <c r="B6" t="s">
        <v>24</v>
      </c>
    </row>
    <row r="7" spans="1:2">
      <c r="A7" s="1" t="s">
        <v>1432</v>
      </c>
      <c r="B7" t="s">
        <v>31</v>
      </c>
    </row>
    <row r="8" spans="1:2">
      <c r="A8" s="1" t="s">
        <v>1433</v>
      </c>
      <c r="B8" t="s">
        <v>582</v>
      </c>
    </row>
    <row r="9" spans="1:2">
      <c r="A9" s="1" t="s">
        <v>1434</v>
      </c>
      <c r="B9" t="s">
        <v>1063</v>
      </c>
    </row>
    <row r="10" spans="1:2">
      <c r="A10" s="1" t="s">
        <v>1435</v>
      </c>
      <c r="B10" t="s">
        <v>544</v>
      </c>
    </row>
    <row r="11" spans="1:2">
      <c r="A11" s="1" t="s">
        <v>1436</v>
      </c>
      <c r="B11" t="s">
        <v>898</v>
      </c>
    </row>
    <row r="12" spans="1:2">
      <c r="A12" s="1" t="s">
        <v>1437</v>
      </c>
      <c r="B12" t="s">
        <v>45</v>
      </c>
    </row>
    <row r="13" spans="1:2">
      <c r="A13" s="1" t="s">
        <v>1438</v>
      </c>
      <c r="B13" t="s">
        <v>56</v>
      </c>
    </row>
    <row r="14" spans="1:2">
      <c r="A14" s="1" t="s">
        <v>1439</v>
      </c>
      <c r="B14" t="s">
        <v>1440</v>
      </c>
    </row>
    <row r="15" spans="1:2">
      <c r="A15" s="1" t="s">
        <v>1441</v>
      </c>
      <c r="B15" t="s">
        <v>765</v>
      </c>
    </row>
    <row r="16" spans="1:2">
      <c r="A16" s="1" t="s">
        <v>1442</v>
      </c>
      <c r="B16" t="s">
        <v>595</v>
      </c>
    </row>
    <row r="17" spans="1:2">
      <c r="A17" s="1" t="s">
        <v>1443</v>
      </c>
      <c r="B17" t="s">
        <v>64</v>
      </c>
    </row>
    <row r="18" spans="1:2">
      <c r="A18" s="1" t="s">
        <v>1444</v>
      </c>
      <c r="B18" t="s">
        <v>742</v>
      </c>
    </row>
    <row r="19" spans="1:2">
      <c r="A19" s="1" t="s">
        <v>1445</v>
      </c>
      <c r="B19" t="s">
        <v>1037</v>
      </c>
    </row>
    <row r="20" spans="1:2">
      <c r="A20" s="1" t="s">
        <v>1446</v>
      </c>
      <c r="B20" t="s">
        <v>106</v>
      </c>
    </row>
    <row r="21" spans="1:2">
      <c r="A21" s="1" t="s">
        <v>1447</v>
      </c>
      <c r="B21" t="s">
        <v>189</v>
      </c>
    </row>
    <row r="22" spans="1:2">
      <c r="A22" s="1" t="s">
        <v>1448</v>
      </c>
      <c r="B22" t="s">
        <v>633</v>
      </c>
    </row>
    <row r="23" spans="1:2">
      <c r="A23" s="1" t="s">
        <v>1449</v>
      </c>
      <c r="B23" t="s">
        <v>627</v>
      </c>
    </row>
    <row r="24" spans="1:2">
      <c r="A24" s="1" t="s">
        <v>1450</v>
      </c>
      <c r="B24" t="s">
        <v>623</v>
      </c>
    </row>
    <row r="25" spans="1:2">
      <c r="A25" s="1" t="s">
        <v>1451</v>
      </c>
      <c r="B25" t="s">
        <v>132</v>
      </c>
    </row>
    <row r="26" spans="1:2">
      <c r="A26" s="1" t="s">
        <v>1452</v>
      </c>
      <c r="B26" t="s">
        <v>1212</v>
      </c>
    </row>
    <row r="27" spans="1:2">
      <c r="A27" s="1" t="s">
        <v>1453</v>
      </c>
      <c r="B27" t="s">
        <v>139</v>
      </c>
    </row>
    <row r="28" spans="1:2">
      <c r="A28" s="1" t="s">
        <v>1454</v>
      </c>
      <c r="B28" t="s">
        <v>763</v>
      </c>
    </row>
    <row r="29" spans="1:2">
      <c r="A29" s="1" t="s">
        <v>1455</v>
      </c>
      <c r="B29" t="s">
        <v>679</v>
      </c>
    </row>
    <row r="30" spans="1:2">
      <c r="A30" s="1" t="s">
        <v>1456</v>
      </c>
      <c r="B30" t="s">
        <v>667</v>
      </c>
    </row>
    <row r="31" spans="1:2">
      <c r="A31" s="1" t="s">
        <v>1457</v>
      </c>
      <c r="B31" t="s">
        <v>112</v>
      </c>
    </row>
    <row r="32" spans="1:2">
      <c r="A32" s="1" t="s">
        <v>1458</v>
      </c>
      <c r="B32" t="s">
        <v>1459</v>
      </c>
    </row>
    <row r="33" spans="1:2">
      <c r="A33" s="1" t="s">
        <v>1460</v>
      </c>
      <c r="B33" t="s">
        <v>976</v>
      </c>
    </row>
    <row r="34" spans="1:2">
      <c r="A34" s="1" t="s">
        <v>1461</v>
      </c>
      <c r="B34" t="s">
        <v>146</v>
      </c>
    </row>
    <row r="35" spans="1:2">
      <c r="A35" s="1" t="s">
        <v>1462</v>
      </c>
      <c r="B35" t="s">
        <v>1463</v>
      </c>
    </row>
    <row r="36" spans="1:2">
      <c r="A36" s="1" t="s">
        <v>1464</v>
      </c>
      <c r="B36" t="s">
        <v>155</v>
      </c>
    </row>
    <row r="37" spans="1:2">
      <c r="A37" s="1" t="s">
        <v>1465</v>
      </c>
      <c r="B37" t="s">
        <v>160</v>
      </c>
    </row>
    <row r="38" spans="1:2">
      <c r="A38" s="1" t="s">
        <v>1466</v>
      </c>
      <c r="B38" t="s">
        <v>162</v>
      </c>
    </row>
    <row r="39" spans="1:2">
      <c r="A39" s="1" t="s">
        <v>1467</v>
      </c>
      <c r="B39" t="s">
        <v>1286</v>
      </c>
    </row>
    <row r="40" spans="1:2">
      <c r="A40" s="1" t="s">
        <v>1468</v>
      </c>
      <c r="B40" t="s">
        <v>848</v>
      </c>
    </row>
    <row r="41" spans="1:2">
      <c r="A41" s="1" t="s">
        <v>1469</v>
      </c>
      <c r="B41" t="s">
        <v>173</v>
      </c>
    </row>
    <row r="42" spans="1:2">
      <c r="A42" s="1" t="s">
        <v>1470</v>
      </c>
      <c r="B42" t="s">
        <v>1226</v>
      </c>
    </row>
    <row r="43" spans="1:2">
      <c r="A43" s="1" t="s">
        <v>1471</v>
      </c>
      <c r="B43" t="s">
        <v>1244</v>
      </c>
    </row>
    <row r="44" spans="1:2">
      <c r="A44" s="1" t="s">
        <v>1472</v>
      </c>
      <c r="B44" t="s">
        <v>1230</v>
      </c>
    </row>
    <row r="45" spans="1:2">
      <c r="A45" s="1" t="s">
        <v>1473</v>
      </c>
      <c r="B45" t="s">
        <v>175</v>
      </c>
    </row>
    <row r="46" spans="1:2">
      <c r="A46" s="1" t="s">
        <v>1474</v>
      </c>
      <c r="B46" t="s">
        <v>1475</v>
      </c>
    </row>
    <row r="47" spans="1:2">
      <c r="A47" s="1" t="s">
        <v>1476</v>
      </c>
      <c r="B47" t="s">
        <v>194</v>
      </c>
    </row>
    <row r="48" spans="1:2">
      <c r="A48" s="1" t="s">
        <v>1477</v>
      </c>
      <c r="B48" t="s">
        <v>238</v>
      </c>
    </row>
    <row r="49" spans="1:2">
      <c r="A49" s="1" t="s">
        <v>1478</v>
      </c>
      <c r="B49" t="s">
        <v>1479</v>
      </c>
    </row>
    <row r="50" spans="1:2">
      <c r="A50" s="1" t="s">
        <v>1480</v>
      </c>
      <c r="B50" t="s">
        <v>186</v>
      </c>
    </row>
    <row r="51" spans="1:2">
      <c r="A51" s="1" t="s">
        <v>1481</v>
      </c>
      <c r="B51" t="s">
        <v>198</v>
      </c>
    </row>
    <row r="52" spans="1:2">
      <c r="A52" s="1" t="s">
        <v>1482</v>
      </c>
      <c r="B52" t="s">
        <v>1483</v>
      </c>
    </row>
    <row r="53" spans="1:2">
      <c r="A53" s="1" t="s">
        <v>1484</v>
      </c>
      <c r="B53" t="s">
        <v>213</v>
      </c>
    </row>
    <row r="54" spans="1:2">
      <c r="A54" s="1" t="s">
        <v>1485</v>
      </c>
      <c r="B54" t="s">
        <v>222</v>
      </c>
    </row>
    <row r="55" spans="1:2">
      <c r="A55" s="1" t="s">
        <v>1486</v>
      </c>
      <c r="B55" t="s">
        <v>203</v>
      </c>
    </row>
    <row r="56" spans="1:2">
      <c r="A56" s="1" t="s">
        <v>1487</v>
      </c>
      <c r="B56" t="s">
        <v>208</v>
      </c>
    </row>
    <row r="57" spans="1:2">
      <c r="A57" s="1" t="s">
        <v>1488</v>
      </c>
      <c r="B57" t="s">
        <v>1489</v>
      </c>
    </row>
    <row r="58" spans="1:2">
      <c r="A58" s="1" t="s">
        <v>1490</v>
      </c>
      <c r="B58" t="s">
        <v>233</v>
      </c>
    </row>
    <row r="59" spans="1:2">
      <c r="A59" s="1" t="s">
        <v>1491</v>
      </c>
      <c r="B59" t="s">
        <v>241</v>
      </c>
    </row>
    <row r="60" spans="1:2">
      <c r="A60" s="1" t="s">
        <v>1492</v>
      </c>
      <c r="B60" t="s">
        <v>29</v>
      </c>
    </row>
    <row r="61" spans="1:2">
      <c r="A61" s="1" t="s">
        <v>1493</v>
      </c>
      <c r="B61" t="s">
        <v>1494</v>
      </c>
    </row>
    <row r="62" spans="1:2">
      <c r="A62" s="1" t="s">
        <v>1495</v>
      </c>
      <c r="B62" t="s">
        <v>987</v>
      </c>
    </row>
    <row r="63" spans="1:2">
      <c r="A63" s="1" t="s">
        <v>1496</v>
      </c>
      <c r="B63" t="s">
        <v>856</v>
      </c>
    </row>
    <row r="64" spans="1:2">
      <c r="A64" s="1" t="s">
        <v>1497</v>
      </c>
      <c r="B64" t="s">
        <v>730</v>
      </c>
    </row>
    <row r="65" spans="1:2">
      <c r="A65" s="1" t="s">
        <v>1498</v>
      </c>
      <c r="B65" t="s">
        <v>1222</v>
      </c>
    </row>
    <row r="66" spans="1:2">
      <c r="A66" s="1" t="s">
        <v>1499</v>
      </c>
      <c r="B66" t="s">
        <v>1141</v>
      </c>
    </row>
    <row r="67" spans="1:2">
      <c r="A67" s="1" t="s">
        <v>1500</v>
      </c>
      <c r="B67" t="s">
        <v>1501</v>
      </c>
    </row>
    <row r="68" spans="1:2">
      <c r="A68" s="1" t="s">
        <v>1502</v>
      </c>
      <c r="B68" t="s">
        <v>261</v>
      </c>
    </row>
    <row r="69" spans="1:2">
      <c r="A69" s="1" t="s">
        <v>1503</v>
      </c>
      <c r="B69" t="s">
        <v>738</v>
      </c>
    </row>
    <row r="70" spans="1:2">
      <c r="A70" s="1" t="s">
        <v>1504</v>
      </c>
      <c r="B70" t="s">
        <v>164</v>
      </c>
    </row>
    <row r="71" spans="1:2">
      <c r="A71" s="1" t="s">
        <v>1505</v>
      </c>
      <c r="B71" t="s">
        <v>995</v>
      </c>
    </row>
    <row r="72" spans="1:2">
      <c r="A72" s="1" t="s">
        <v>1506</v>
      </c>
      <c r="B72" t="s">
        <v>1088</v>
      </c>
    </row>
    <row r="73" spans="1:2">
      <c r="A73" s="1" t="s">
        <v>1507</v>
      </c>
      <c r="B73" t="s">
        <v>1284</v>
      </c>
    </row>
    <row r="74" spans="1:2">
      <c r="A74" s="1" t="s">
        <v>1508</v>
      </c>
      <c r="B74" t="s">
        <v>537</v>
      </c>
    </row>
    <row r="75" spans="1:2">
      <c r="A75" s="1" t="s">
        <v>1509</v>
      </c>
      <c r="B75" t="s">
        <v>1510</v>
      </c>
    </row>
    <row r="76" spans="1:2">
      <c r="A76" s="1" t="s">
        <v>1511</v>
      </c>
      <c r="B76" t="s">
        <v>264</v>
      </c>
    </row>
    <row r="77" spans="1:2">
      <c r="A77" s="1" t="s">
        <v>1512</v>
      </c>
      <c r="B77" t="s">
        <v>272</v>
      </c>
    </row>
    <row r="78" spans="1:2">
      <c r="A78" s="1" t="s">
        <v>1513</v>
      </c>
      <c r="B78" t="s">
        <v>1224</v>
      </c>
    </row>
    <row r="79" spans="1:2">
      <c r="A79" s="1" t="s">
        <v>1514</v>
      </c>
      <c r="B79" t="s">
        <v>1515</v>
      </c>
    </row>
    <row r="80" spans="1:2">
      <c r="A80" s="1" t="s">
        <v>1516</v>
      </c>
      <c r="B80" t="s">
        <v>1331</v>
      </c>
    </row>
    <row r="81" spans="1:2">
      <c r="A81" s="1" t="s">
        <v>1517</v>
      </c>
      <c r="B81" t="s">
        <v>1127</v>
      </c>
    </row>
    <row r="82" spans="1:2">
      <c r="A82" s="1" t="s">
        <v>1518</v>
      </c>
      <c r="B82" t="s">
        <v>1236</v>
      </c>
    </row>
    <row r="83" spans="1:2">
      <c r="A83" s="1" t="s">
        <v>1519</v>
      </c>
      <c r="B83" t="s">
        <v>279</v>
      </c>
    </row>
    <row r="84" spans="1:2">
      <c r="A84" s="1" t="s">
        <v>1520</v>
      </c>
      <c r="B84" t="s">
        <v>283</v>
      </c>
    </row>
    <row r="85" spans="1:2">
      <c r="A85" s="1" t="s">
        <v>1521</v>
      </c>
      <c r="B85" t="s">
        <v>968</v>
      </c>
    </row>
    <row r="86" spans="1:2">
      <c r="A86" s="1" t="s">
        <v>1522</v>
      </c>
      <c r="B86" t="s">
        <v>299</v>
      </c>
    </row>
    <row r="87" spans="1:2">
      <c r="A87" s="1" t="s">
        <v>362</v>
      </c>
      <c r="B87" t="s">
        <v>361</v>
      </c>
    </row>
    <row r="88" spans="1:2">
      <c r="A88" s="1" t="s">
        <v>1523</v>
      </c>
      <c r="B88" t="s">
        <v>1101</v>
      </c>
    </row>
    <row r="89" spans="1:2">
      <c r="A89" s="1" t="s">
        <v>1524</v>
      </c>
      <c r="B89" t="s">
        <v>1525</v>
      </c>
    </row>
    <row r="90" spans="1:2">
      <c r="A90" s="1" t="s">
        <v>1526</v>
      </c>
      <c r="B90" t="s">
        <v>1240</v>
      </c>
    </row>
    <row r="91" spans="1:2">
      <c r="A91" s="1" t="s">
        <v>1527</v>
      </c>
      <c r="B91" t="s">
        <v>341</v>
      </c>
    </row>
    <row r="92" spans="1:2">
      <c r="A92" s="1" t="s">
        <v>1528</v>
      </c>
      <c r="B92" t="s">
        <v>331</v>
      </c>
    </row>
    <row r="93" spans="1:2">
      <c r="A93" s="1" t="s">
        <v>1529</v>
      </c>
      <c r="B93" t="s">
        <v>1091</v>
      </c>
    </row>
    <row r="94" spans="1:2">
      <c r="A94" s="1" t="s">
        <v>1530</v>
      </c>
      <c r="B94" t="s">
        <v>1115</v>
      </c>
    </row>
    <row r="95" spans="1:2">
      <c r="A95" s="1" t="s">
        <v>1531</v>
      </c>
      <c r="B95" t="s">
        <v>1532</v>
      </c>
    </row>
    <row r="96" spans="1:2">
      <c r="A96" s="1" t="s">
        <v>1533</v>
      </c>
      <c r="B96" t="s">
        <v>1534</v>
      </c>
    </row>
    <row r="97" spans="1:2">
      <c r="A97" s="1" t="s">
        <v>1535</v>
      </c>
      <c r="B97" t="s">
        <v>1536</v>
      </c>
    </row>
    <row r="98" spans="1:2">
      <c r="A98" s="1" t="s">
        <v>1537</v>
      </c>
      <c r="B98" t="s">
        <v>338</v>
      </c>
    </row>
    <row r="99" spans="1:2">
      <c r="A99" s="1" t="s">
        <v>1538</v>
      </c>
      <c r="B99" t="s">
        <v>1113</v>
      </c>
    </row>
    <row r="100" spans="1:2">
      <c r="A100" s="1" t="s">
        <v>1539</v>
      </c>
      <c r="B100" t="s">
        <v>673</v>
      </c>
    </row>
    <row r="101" spans="1:2">
      <c r="A101" s="1" t="s">
        <v>1540</v>
      </c>
      <c r="B101" t="s">
        <v>1238</v>
      </c>
    </row>
    <row r="102" spans="1:2">
      <c r="A102" s="1" t="s">
        <v>1541</v>
      </c>
      <c r="B102" t="s">
        <v>1093</v>
      </c>
    </row>
    <row r="103" spans="1:2">
      <c r="A103" s="1" t="s">
        <v>1542</v>
      </c>
      <c r="B103" t="s">
        <v>1234</v>
      </c>
    </row>
    <row r="104" spans="1:2">
      <c r="A104" s="1" t="s">
        <v>1543</v>
      </c>
      <c r="B104" t="s">
        <v>1086</v>
      </c>
    </row>
    <row r="105" spans="1:2">
      <c r="A105" s="1" t="s">
        <v>1544</v>
      </c>
      <c r="B105" t="s">
        <v>349</v>
      </c>
    </row>
    <row r="106" spans="1:2">
      <c r="A106" s="1" t="s">
        <v>1545</v>
      </c>
      <c r="B106" t="s">
        <v>1188</v>
      </c>
    </row>
    <row r="107" spans="1:2">
      <c r="A107" s="1" t="s">
        <v>1546</v>
      </c>
      <c r="B107" t="s">
        <v>363</v>
      </c>
    </row>
    <row r="108" spans="1:2">
      <c r="A108" s="1" t="s">
        <v>1547</v>
      </c>
      <c r="B108" t="s">
        <v>1548</v>
      </c>
    </row>
    <row r="109" spans="1:2">
      <c r="A109" s="1" t="s">
        <v>1549</v>
      </c>
      <c r="B109" t="s">
        <v>77</v>
      </c>
    </row>
    <row r="110" spans="1:2">
      <c r="A110" s="1" t="s">
        <v>1550</v>
      </c>
      <c r="B110" t="s">
        <v>1551</v>
      </c>
    </row>
    <row r="111" spans="1:2">
      <c r="A111" s="1" t="s">
        <v>1552</v>
      </c>
      <c r="B111" t="s">
        <v>1192</v>
      </c>
    </row>
    <row r="112" spans="1:2">
      <c r="A112" s="1" t="s">
        <v>1553</v>
      </c>
      <c r="B112" t="s">
        <v>1181</v>
      </c>
    </row>
    <row r="113" spans="1:2">
      <c r="A113" s="1" t="s">
        <v>1554</v>
      </c>
      <c r="B113" t="s">
        <v>704</v>
      </c>
    </row>
    <row r="114" spans="1:2">
      <c r="A114" s="1" t="s">
        <v>1555</v>
      </c>
      <c r="B114" t="s">
        <v>690</v>
      </c>
    </row>
    <row r="115" spans="1:2">
      <c r="A115" s="1" t="s">
        <v>1556</v>
      </c>
      <c r="B115" s="25" t="s">
        <v>908</v>
      </c>
    </row>
    <row r="116" spans="1:2">
      <c r="A116" s="1" t="s">
        <v>1557</v>
      </c>
      <c r="B116" t="s">
        <v>385</v>
      </c>
    </row>
    <row r="117" spans="1:2">
      <c r="A117" s="1" t="s">
        <v>1558</v>
      </c>
      <c r="B117" t="s">
        <v>1298</v>
      </c>
    </row>
    <row r="118" spans="1:2">
      <c r="A118" s="1" t="s">
        <v>1559</v>
      </c>
      <c r="B118" t="s">
        <v>745</v>
      </c>
    </row>
    <row r="119" spans="1:2">
      <c r="A119" s="1" t="s">
        <v>1560</v>
      </c>
      <c r="B119" t="s">
        <v>614</v>
      </c>
    </row>
    <row r="120" spans="1:2">
      <c r="A120" s="1" t="s">
        <v>1561</v>
      </c>
      <c r="B120" t="s">
        <v>1047</v>
      </c>
    </row>
    <row r="121" spans="1:2">
      <c r="A121" s="1" t="s">
        <v>1562</v>
      </c>
      <c r="B121" t="s">
        <v>1563</v>
      </c>
    </row>
    <row r="122" spans="1:2">
      <c r="A122" s="1" t="s">
        <v>1564</v>
      </c>
      <c r="B122" t="s">
        <v>749</v>
      </c>
    </row>
    <row r="123" spans="1:2">
      <c r="A123" s="1" t="s">
        <v>1565</v>
      </c>
      <c r="B123" t="s">
        <v>1232</v>
      </c>
    </row>
    <row r="124" spans="1:2">
      <c r="A124" s="1" t="s">
        <v>1566</v>
      </c>
      <c r="B124" t="s">
        <v>926</v>
      </c>
    </row>
    <row r="125" spans="1:2">
      <c r="A125" s="1" t="s">
        <v>1567</v>
      </c>
      <c r="B125" t="s">
        <v>1242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Nucleos</vt:lpstr>
      <vt:lpstr>Rodoviária</vt:lpstr>
      <vt:lpstr>d_AUX</vt:lpstr>
      <vt:lpstr>Planilha1</vt:lpstr>
      <vt:lpstr>d_Aux_SalesForce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Pereira Bueno</dc:creator>
  <cp:lastModifiedBy>Pedro  Linhares</cp:lastModifiedBy>
  <dcterms:created xsi:type="dcterms:W3CDTF">2022-01-10T18:50:00Z</dcterms:created>
  <dcterms:modified xsi:type="dcterms:W3CDTF">2025-11-03T14:13:45Z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645CACF231A44598A3200DDFDE94C3EF_12</vt:lpwstr>
  </property>
  <property fmtid="{D5CDD505-2E9C-101B-9397-08002B2CF9AE}" pid="3" name="KSOProductBuildVer">
    <vt:lpwstr>1046-12.2.0.23131</vt:lpwstr>
  </property>
</Properties>
</file>